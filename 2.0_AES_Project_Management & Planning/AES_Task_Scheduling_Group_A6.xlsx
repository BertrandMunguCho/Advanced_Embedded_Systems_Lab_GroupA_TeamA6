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anie\Documents\Advanced_Embedded_Systems_Lab_Group_A6\2.0_AES_Project_Management &amp; Planning\"/>
    </mc:Choice>
  </mc:AlternateContent>
  <xr:revisionPtr revIDLastSave="0" documentId="8_{06AE2A9F-6992-4399-B827-2AC652B1B8F9}" xr6:coauthVersionLast="47" xr6:coauthVersionMax="47" xr10:uidLastSave="{00000000-0000-0000-0000-000000000000}"/>
  <bookViews>
    <workbookView xWindow="3017" yWindow="3017" windowWidth="24686" windowHeight="14597"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1" i="11" s="1"/>
  <c r="F21" i="11" l="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H28" i="11" l="1"/>
  <c r="F29" i="1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<sst xmlns="http://schemas.openxmlformats.org/spreadsheetml/2006/main" count="69" uniqueCount="53">
  <si>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</si>
  <si>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</si>
  <si>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</si>
  <si>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</si>
  <si>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</si>
  <si>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</si>
  <si>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</si>
  <si>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</si>
  <si>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</si>
  <si>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</si>
  <si>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</si>
  <si>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</si>
  <si>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</si>
  <si>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</si>
  <si>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</si>
  <si>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</si>
  <si>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</si>
  <si>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</si>
  <si>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</si>
  <si>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</si>
  <si>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Europa project</t>
  </si>
  <si>
    <t>Gokce Aslan</t>
  </si>
  <si>
    <t>Hayden Cook</t>
  </si>
  <si>
    <t>Jens Martensson</t>
  </si>
  <si>
    <t>Nuria Acevedo</t>
  </si>
  <si>
    <t>Olivia Wilson</t>
  </si>
  <si>
    <t>Initiation</t>
  </si>
  <si>
    <t>Define goals</t>
  </si>
  <si>
    <t>Conduct studies</t>
  </si>
  <si>
    <t>Establish comms</t>
  </si>
  <si>
    <t>Develop charter</t>
  </si>
  <si>
    <t>Set up team</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</si>
  <si>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</si>
  <si>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</si>
  <si>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</si>
  <si>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</si>
  <si>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</si>
  <si>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</si>
  <si>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</si>
  <si>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</si>
  <si>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</si>
  <si>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</si>
  <si>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</si>
  <si>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</si>
  <si>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</si>
  <si>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</si>
  <si>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</si>
  <si>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</si>
  <si>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</si>
  <si>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</si>
  <si>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</si>
  <si>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</si>
  <si>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HSHL Advanced Embedded Systems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</si>
</sst>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cellXfs>
  <cellStyles count="13">
    <cellStyle name="Date" xfId="10" xr:uid="{229918B6-DD13-4F5A-97B9-305F7E002AA3}"/>
    <cellStyle name="Komma" xfId="4" builtinId="3" customBuiltin="1"/>
    <cellStyle name="Link" xfId="1" builtinId="8" customBuiltin="1"/>
    <cellStyle name="Name" xfId="11" xr:uid="{B2D3C1EE-6B41-4801-AAFC-C2274E49E503}"/>
    <cellStyle name="Project Start" xfId="9" xr:uid="{8EB8A09A-C31C-40A3-B2C1-9449520178B8}"/>
    <cellStyle name="Prozent" xfId="2" builtinId="5"/>
    <cellStyle name="Standard" xfId="0" builtinId="0"/>
    <cellStyle name="Task" xfId="12" xr:uid="{6391D789-272B-4DD2-9BF3-2CDCF610FA41}"/>
    <cellStyle name="Überschrift" xfId="5" builtinId="15" customBuiltin="1"/>
    <cellStyle name="Überschrift 1" xfId="6" builtinId="16" customBuiltin="1"/>
    <cellStyle name="Überschrift 2" xfId="7" builtinId="17" customBuiltin="1"/>
    <cellStyle name="Überschrift 3" xfId="8" builtinId="18"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4" zoomScaleNormal="100" zoomScalePageLayoutView="70" workbookViewId="0">
      <selection activeCell="D3" sqref="D3"/>
    </sheetView>
  </sheetViews>
  <sheetFormatPr baseColWidth="10" defaultColWidth="8.7109375" defaultRowHeight="30" customHeight="1" x14ac:dyDescent="0.35"/>
  <cols>
    <col min="1" max="1" width="2.7109375" style="13" customWidth="1"/>
    <col min="2" max="2" width="22.7109375" customWidth="1"/>
    <col min="3" max="3" width="16.7109375" customWidth="1"/>
    <col min="4" max="4" width="10.7109375" customWidth="1"/>
    <col min="5" max="5" width="10.7109375" style="2" customWidth="1"/>
    <col min="6" max="6" width="10.7109375" customWidth="1"/>
    <col min="7" max="7" width="2.7109375" customWidth="1"/>
    <col min="8" max="8" width="6" hidden="1" customWidth="1"/>
    <col min="9" max="65" width="2.7109375" customWidth="1"/>
  </cols>
  <sheetData>
    <row r="1" spans="1:64" ht="90" customHeight="1" x14ac:dyDescent="1.95">
      <c r="A1" s="14"/>
      <c r="B1" s="97" t="s">
        <v>20</v>
      </c>
      <c r="C1" s="18"/>
      <c r="D1" s="19"/>
      <c r="E1" s="20"/>
      <c r="F1" s="21"/>
      <c r="H1" s="1"/>
      <c r="I1" s="114" t="s">
        <v>48</v>
      </c>
      <c r="J1" s="115"/>
      <c r="K1" s="115"/>
      <c r="L1" s="115"/>
      <c r="M1" s="115"/>
      <c r="N1" s="115"/>
      <c r="O1" s="115"/>
      <c r="P1" s="24"/>
      <c r="Q1" s="113">
        <f ca="1">TODAY()</f>
        <v>46147</v>
      </c>
      <c r="R1" s="112"/>
      <c r="S1" s="112"/>
      <c r="T1" s="112"/>
      <c r="U1" s="112"/>
      <c r="V1" s="112"/>
      <c r="W1" s="112"/>
      <c r="X1" s="112"/>
      <c r="Y1" s="112"/>
      <c r="Z1" s="112"/>
    </row>
    <row r="2" spans="1:64" ht="30" customHeight="1" x14ac:dyDescent="0.8">
      <c r="B2" s="95" t="s">
        <v>52</v>
      </c>
      <c r="C2" s="96"/>
      <c r="D2" s="22"/>
      <c r="E2" s="23"/>
      <c r="F2" s="22"/>
      <c r="I2" s="114" t="s">
        <v>49</v>
      </c>
      <c r="J2" s="115"/>
      <c r="K2" s="115"/>
      <c r="L2" s="115"/>
      <c r="M2" s="115"/>
      <c r="N2" s="115"/>
      <c r="O2" s="115"/>
      <c r="P2" s="24"/>
      <c r="Q2" s="111">
        <v>1</v>
      </c>
      <c r="R2" s="112"/>
      <c r="S2" s="112"/>
      <c r="T2" s="112"/>
      <c r="U2" s="112"/>
      <c r="V2" s="112"/>
      <c r="W2" s="112"/>
      <c r="X2" s="112"/>
      <c r="Y2" s="112"/>
      <c r="Z2" s="112"/>
    </row>
    <row r="3" spans="1:64" s="26" customFormat="1" ht="30" customHeight="1" x14ac:dyDescent="0.35">
      <c r="A3" s="13"/>
      <c r="B3" s="25"/>
      <c r="D3" s="29"/>
      <c r="E3" s="27"/>
    </row>
    <row r="4" spans="1:64" s="26" customFormat="1" ht="30" customHeight="1" x14ac:dyDescent="0.35">
      <c r="A4" s="14"/>
      <c r="B4" s="28"/>
      <c r="I4" s="118">
        <f ca="1">I5</f>
        <v>46146</v>
      </c>
      <c r="J4" s="116"/>
      <c r="K4" s="116"/>
      <c r="L4" s="116"/>
      <c r="M4" s="116"/>
      <c r="N4" s="116"/>
      <c r="O4" s="116"/>
      <c r="P4" s="116">
        <f ca="1">P5</f>
        <v>46153</v>
      </c>
      <c r="Q4" s="116"/>
      <c r="R4" s="116"/>
      <c r="S4" s="116"/>
      <c r="T4" s="116"/>
      <c r="U4" s="116"/>
      <c r="V4" s="116"/>
      <c r="W4" s="116">
        <f ca="1">W5</f>
        <v>46160</v>
      </c>
      <c r="X4" s="116"/>
      <c r="Y4" s="116"/>
      <c r="Z4" s="116"/>
      <c r="AA4" s="116"/>
      <c r="AB4" s="116"/>
      <c r="AC4" s="116"/>
      <c r="AD4" s="116">
        <f ca="1">AD5</f>
        <v>46167</v>
      </c>
      <c r="AE4" s="116"/>
      <c r="AF4" s="116"/>
      <c r="AG4" s="116"/>
      <c r="AH4" s="116"/>
      <c r="AI4" s="116"/>
      <c r="AJ4" s="116"/>
      <c r="AK4" s="116">
        <f ca="1">AK5</f>
        <v>46174</v>
      </c>
      <c r="AL4" s="116"/>
      <c r="AM4" s="116"/>
      <c r="AN4" s="116"/>
      <c r="AO4" s="116"/>
      <c r="AP4" s="116"/>
      <c r="AQ4" s="116"/>
      <c r="AR4" s="116">
        <f ca="1">AR5</f>
        <v>46181</v>
      </c>
      <c r="AS4" s="116"/>
      <c r="AT4" s="116"/>
      <c r="AU4" s="116"/>
      <c r="AV4" s="116"/>
      <c r="AW4" s="116"/>
      <c r="AX4" s="116"/>
      <c r="AY4" s="116">
        <f ca="1">AY5</f>
        <v>46188</v>
      </c>
      <c r="AZ4" s="116"/>
      <c r="BA4" s="116"/>
      <c r="BB4" s="116"/>
      <c r="BC4" s="116"/>
      <c r="BD4" s="116"/>
      <c r="BE4" s="116"/>
      <c r="BF4" s="116">
        <f ca="1">BF5</f>
        <v>46195</v>
      </c>
      <c r="BG4" s="116"/>
      <c r="BH4" s="116"/>
      <c r="BI4" s="116"/>
      <c r="BJ4" s="116"/>
      <c r="BK4" s="116"/>
      <c r="BL4" s="117"/>
    </row>
    <row r="5" spans="1:64" s="26" customFormat="1" ht="15" customHeight="1" x14ac:dyDescent="0.35">
      <c r="A5" s="105"/>
      <c r="B5" s="106" t="s">
        <v>5</v>
      </c>
      <c r="C5" s="108" t="s">
        <v>50</v>
      </c>
      <c r="D5" s="110" t="s">
        <v>1</v>
      </c>
      <c r="E5" s="110" t="s">
        <v>3</v>
      </c>
      <c r="F5" s="110" t="s">
        <v>4</v>
      </c>
      <c r="I5" s="30">
        <f ca="1">Project_Start-WEEKDAY(Project_Start,1)+2+7*(Display_Week-1)</f>
        <v>46146</v>
      </c>
      <c r="J5" s="30">
        <f ca="1">I5+1</f>
        <v>46147</v>
      </c>
      <c r="K5" s="30">
        <f t="shared" ref="K5:AX5" ca="1" si="0">J5+1</f>
        <v>46148</v>
      </c>
      <c r="L5" s="30">
        <f t="shared" ca="1" si="0"/>
        <v>46149</v>
      </c>
      <c r="M5" s="30">
        <f t="shared" ca="1" si="0"/>
        <v>46150</v>
      </c>
      <c r="N5" s="30">
        <f t="shared" ca="1" si="0"/>
        <v>46151</v>
      </c>
      <c r="O5" s="31">
        <f t="shared" ca="1" si="0"/>
        <v>46152</v>
      </c>
      <c r="P5" s="32">
        <f ca="1">O5+1</f>
        <v>46153</v>
      </c>
      <c r="Q5" s="30">
        <f ca="1">P5+1</f>
        <v>46154</v>
      </c>
      <c r="R5" s="30">
        <f t="shared" ca="1" si="0"/>
        <v>46155</v>
      </c>
      <c r="S5" s="30">
        <f t="shared" ca="1" si="0"/>
        <v>46156</v>
      </c>
      <c r="T5" s="30">
        <f t="shared" ca="1" si="0"/>
        <v>46157</v>
      </c>
      <c r="U5" s="30">
        <f t="shared" ca="1" si="0"/>
        <v>46158</v>
      </c>
      <c r="V5" s="31">
        <f t="shared" ca="1" si="0"/>
        <v>46159</v>
      </c>
      <c r="W5" s="32">
        <f ca="1">V5+1</f>
        <v>46160</v>
      </c>
      <c r="X5" s="30">
        <f ca="1">W5+1</f>
        <v>46161</v>
      </c>
      <c r="Y5" s="30">
        <f t="shared" ca="1" si="0"/>
        <v>46162</v>
      </c>
      <c r="Z5" s="30">
        <f t="shared" ca="1" si="0"/>
        <v>46163</v>
      </c>
      <c r="AA5" s="30">
        <f t="shared" ca="1" si="0"/>
        <v>46164</v>
      </c>
      <c r="AB5" s="30">
        <f t="shared" ca="1" si="0"/>
        <v>46165</v>
      </c>
      <c r="AC5" s="31">
        <f t="shared" ca="1" si="0"/>
        <v>46166</v>
      </c>
      <c r="AD5" s="32">
        <f ca="1">AC5+1</f>
        <v>46167</v>
      </c>
      <c r="AE5" s="30">
        <f ca="1">AD5+1</f>
        <v>46168</v>
      </c>
      <c r="AF5" s="30">
        <f t="shared" ca="1" si="0"/>
        <v>46169</v>
      </c>
      <c r="AG5" s="30">
        <f t="shared" ca="1" si="0"/>
        <v>46170</v>
      </c>
      <c r="AH5" s="30">
        <f t="shared" ca="1" si="0"/>
        <v>46171</v>
      </c>
      <c r="AI5" s="30">
        <f t="shared" ca="1" si="0"/>
        <v>46172</v>
      </c>
      <c r="AJ5" s="31">
        <f t="shared" ca="1" si="0"/>
        <v>46173</v>
      </c>
      <c r="AK5" s="32">
        <f ca="1">AJ5+1</f>
        <v>46174</v>
      </c>
      <c r="AL5" s="30">
        <f ca="1">AK5+1</f>
        <v>46175</v>
      </c>
      <c r="AM5" s="30">
        <f t="shared" ca="1" si="0"/>
        <v>46176</v>
      </c>
      <c r="AN5" s="30">
        <f t="shared" ca="1" si="0"/>
        <v>46177</v>
      </c>
      <c r="AO5" s="30">
        <f t="shared" ca="1" si="0"/>
        <v>46178</v>
      </c>
      <c r="AP5" s="30">
        <f t="shared" ca="1" si="0"/>
        <v>46179</v>
      </c>
      <c r="AQ5" s="31">
        <f t="shared" ca="1" si="0"/>
        <v>46180</v>
      </c>
      <c r="AR5" s="32">
        <f ca="1">AQ5+1</f>
        <v>46181</v>
      </c>
      <c r="AS5" s="30">
        <f ca="1">AR5+1</f>
        <v>46182</v>
      </c>
      <c r="AT5" s="30">
        <f t="shared" ca="1" si="0"/>
        <v>46183</v>
      </c>
      <c r="AU5" s="30">
        <f t="shared" ca="1" si="0"/>
        <v>46184</v>
      </c>
      <c r="AV5" s="30">
        <f t="shared" ca="1" si="0"/>
        <v>46185</v>
      </c>
      <c r="AW5" s="30">
        <f t="shared" ca="1" si="0"/>
        <v>46186</v>
      </c>
      <c r="AX5" s="31">
        <f t="shared" ca="1" si="0"/>
        <v>46187</v>
      </c>
      <c r="AY5" s="32">
        <f ca="1">AX5+1</f>
        <v>46188</v>
      </c>
      <c r="AZ5" s="30">
        <f ca="1">AY5+1</f>
        <v>46189</v>
      </c>
      <c r="BA5" s="30">
        <f t="shared" ref="BA5:BE5" ca="1" si="1">AZ5+1</f>
        <v>46190</v>
      </c>
      <c r="BB5" s="30">
        <f t="shared" ca="1" si="1"/>
        <v>46191</v>
      </c>
      <c r="BC5" s="30">
        <f t="shared" ca="1" si="1"/>
        <v>46192</v>
      </c>
      <c r="BD5" s="30">
        <f t="shared" ca="1" si="1"/>
        <v>46193</v>
      </c>
      <c r="BE5" s="31">
        <f t="shared" ca="1" si="1"/>
        <v>46194</v>
      </c>
      <c r="BF5" s="32">
        <f ca="1">BE5+1</f>
        <v>46195</v>
      </c>
      <c r="BG5" s="30">
        <f ca="1">BF5+1</f>
        <v>46196</v>
      </c>
      <c r="BH5" s="30">
        <f t="shared" ref="BH5:BL5" ca="1" si="2">BG5+1</f>
        <v>46197</v>
      </c>
      <c r="BI5" s="30">
        <f t="shared" ca="1" si="2"/>
        <v>46198</v>
      </c>
      <c r="BJ5" s="30">
        <f t="shared" ca="1" si="2"/>
        <v>46199</v>
      </c>
      <c r="BK5" s="30">
        <f t="shared" ca="1" si="2"/>
        <v>46200</v>
      </c>
      <c r="BL5" s="30">
        <f t="shared" ca="1" si="2"/>
        <v>46201</v>
      </c>
    </row>
    <row r="6" spans="1:64" s="26" customFormat="1" ht="15" customHeight="1" thickBot="1" x14ac:dyDescent="0.4">
      <c r="A6" s="105"/>
      <c r="B6" s="107"/>
      <c r="C6" s="109"/>
      <c r="D6" s="109"/>
      <c r="E6" s="109"/>
      <c r="F6" s="109"/>
      <c r="I6" s="33" t="str">
        <f t="shared" ref="I6:AN6" ca="1" si="3">LEFT(TEXT(I5,"ddd"),1)</f>
        <v>d</v>
      </c>
      <c r="J6" s="34" t="str">
        <f t="shared" ca="1" si="3"/>
        <v>d</v>
      </c>
      <c r="K6" s="34" t="str">
        <f t="shared" ca="1" si="3"/>
        <v>d</v>
      </c>
      <c r="L6" s="34" t="str">
        <f t="shared" ca="1" si="3"/>
        <v>d</v>
      </c>
      <c r="M6" s="34" t="str">
        <f t="shared" ca="1" si="3"/>
        <v>d</v>
      </c>
      <c r="N6" s="34" t="str">
        <f t="shared" ca="1" si="3"/>
        <v>d</v>
      </c>
      <c r="O6" s="34" t="str">
        <f t="shared" ca="1" si="3"/>
        <v>d</v>
      </c>
      <c r="P6" s="34" t="str">
        <f t="shared" ca="1" si="3"/>
        <v>d</v>
      </c>
      <c r="Q6" s="34" t="str">
        <f t="shared" ca="1" si="3"/>
        <v>d</v>
      </c>
      <c r="R6" s="34" t="str">
        <f t="shared" ca="1" si="3"/>
        <v>d</v>
      </c>
      <c r="S6" s="34" t="str">
        <f t="shared" ca="1" si="3"/>
        <v>d</v>
      </c>
      <c r="T6" s="34" t="str">
        <f t="shared" ca="1" si="3"/>
        <v>d</v>
      </c>
      <c r="U6" s="34" t="str">
        <f t="shared" ca="1" si="3"/>
        <v>d</v>
      </c>
      <c r="V6" s="34" t="str">
        <f t="shared" ca="1" si="3"/>
        <v>d</v>
      </c>
      <c r="W6" s="34" t="str">
        <f t="shared" ca="1" si="3"/>
        <v>d</v>
      </c>
      <c r="X6" s="34" t="str">
        <f t="shared" ca="1" si="3"/>
        <v>d</v>
      </c>
      <c r="Y6" s="34" t="str">
        <f t="shared" ca="1" si="3"/>
        <v>d</v>
      </c>
      <c r="Z6" s="34" t="str">
        <f t="shared" ca="1" si="3"/>
        <v>d</v>
      </c>
      <c r="AA6" s="34" t="str">
        <f t="shared" ca="1" si="3"/>
        <v>d</v>
      </c>
      <c r="AB6" s="34" t="str">
        <f t="shared" ca="1" si="3"/>
        <v>d</v>
      </c>
      <c r="AC6" s="34" t="str">
        <f t="shared" ca="1" si="3"/>
        <v>d</v>
      </c>
      <c r="AD6" s="34" t="str">
        <f t="shared" ca="1" si="3"/>
        <v>d</v>
      </c>
      <c r="AE6" s="34" t="str">
        <f t="shared" ca="1" si="3"/>
        <v>d</v>
      </c>
      <c r="AF6" s="34" t="str">
        <f t="shared" ca="1" si="3"/>
        <v>d</v>
      </c>
      <c r="AG6" s="34" t="str">
        <f t="shared" ca="1" si="3"/>
        <v>d</v>
      </c>
      <c r="AH6" s="34" t="str">
        <f t="shared" ca="1" si="3"/>
        <v>d</v>
      </c>
      <c r="AI6" s="34" t="str">
        <f t="shared" ca="1" si="3"/>
        <v>d</v>
      </c>
      <c r="AJ6" s="34" t="str">
        <f t="shared" ca="1" si="3"/>
        <v>d</v>
      </c>
      <c r="AK6" s="34" t="str">
        <f t="shared" ca="1" si="3"/>
        <v>d</v>
      </c>
      <c r="AL6" s="34" t="str">
        <f t="shared" ca="1" si="3"/>
        <v>d</v>
      </c>
      <c r="AM6" s="34" t="str">
        <f t="shared" ca="1" si="3"/>
        <v>d</v>
      </c>
      <c r="AN6" s="34" t="str">
        <f t="shared" ca="1" si="3"/>
        <v>d</v>
      </c>
      <c r="AO6" s="34" t="str">
        <f t="shared" ref="AO6:BL6" ca="1" si="4">LEFT(TEXT(AO5,"ddd"),1)</f>
        <v>d</v>
      </c>
      <c r="AP6" s="34" t="str">
        <f t="shared" ca="1" si="4"/>
        <v>d</v>
      </c>
      <c r="AQ6" s="34" t="str">
        <f t="shared" ca="1" si="4"/>
        <v>d</v>
      </c>
      <c r="AR6" s="34" t="str">
        <f t="shared" ca="1" si="4"/>
        <v>d</v>
      </c>
      <c r="AS6" s="34" t="str">
        <f t="shared" ca="1" si="4"/>
        <v>d</v>
      </c>
      <c r="AT6" s="34" t="str">
        <f t="shared" ca="1" si="4"/>
        <v>d</v>
      </c>
      <c r="AU6" s="34" t="str">
        <f t="shared" ca="1" si="4"/>
        <v>d</v>
      </c>
      <c r="AV6" s="34" t="str">
        <f t="shared" ca="1" si="4"/>
        <v>d</v>
      </c>
      <c r="AW6" s="34" t="str">
        <f t="shared" ca="1" si="4"/>
        <v>d</v>
      </c>
      <c r="AX6" s="34" t="str">
        <f t="shared" ca="1" si="4"/>
        <v>d</v>
      </c>
      <c r="AY6" s="34" t="str">
        <f t="shared" ca="1" si="4"/>
        <v>d</v>
      </c>
      <c r="AZ6" s="34" t="str">
        <f t="shared" ca="1" si="4"/>
        <v>d</v>
      </c>
      <c r="BA6" s="34" t="str">
        <f t="shared" ca="1" si="4"/>
        <v>d</v>
      </c>
      <c r="BB6" s="34" t="str">
        <f t="shared" ca="1" si="4"/>
        <v>d</v>
      </c>
      <c r="BC6" s="34" t="str">
        <f t="shared" ca="1" si="4"/>
        <v>d</v>
      </c>
      <c r="BD6" s="34" t="str">
        <f t="shared" ca="1" si="4"/>
        <v>d</v>
      </c>
      <c r="BE6" s="34" t="str">
        <f t="shared" ca="1" si="4"/>
        <v>d</v>
      </c>
      <c r="BF6" s="34" t="str">
        <f t="shared" ca="1" si="4"/>
        <v>d</v>
      </c>
      <c r="BG6" s="34" t="str">
        <f t="shared" ca="1" si="4"/>
        <v>d</v>
      </c>
      <c r="BH6" s="34" t="str">
        <f t="shared" ca="1" si="4"/>
        <v>d</v>
      </c>
      <c r="BI6" s="34" t="str">
        <f t="shared" ca="1" si="4"/>
        <v>d</v>
      </c>
      <c r="BJ6" s="34" t="str">
        <f t="shared" ca="1" si="4"/>
        <v>d</v>
      </c>
      <c r="BK6" s="34" t="str">
        <f t="shared" ca="1" si="4"/>
        <v>d</v>
      </c>
      <c r="BL6" s="35" t="str">
        <f t="shared" ca="1" si="4"/>
        <v>d</v>
      </c>
    </row>
    <row r="7" spans="1:64" s="26" customFormat="1" ht="30" hidden="1" customHeight="1" thickBot="1" x14ac:dyDescent="0.4">
      <c r="A7" s="13" t="s">
        <v>19</v>
      </c>
      <c r="B7" s="36"/>
      <c r="C7" s="37"/>
      <c r="D7" s="36"/>
      <c r="E7" s="36"/>
      <c r="F7" s="36"/>
      <c r="H7" s="26"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4">
      <c r="A8" s="14"/>
      <c r="B8" s="39" t="s">
        <v>26</v>
      </c>
      <c r="C8" s="40"/>
      <c r="D8" s="41"/>
      <c r="E8" s="42"/>
      <c r="F8" s="43"/>
      <c r="G8" s="17"/>
      <c r="H8" s="5" t="str">
        <f t="shared" ref="H8:H33"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4">
      <c r="A9" s="14"/>
      <c r="B9" s="46" t="s">
        <v>27</v>
      </c>
      <c r="C9" s="47" t="s">
        <v>21</v>
      </c>
      <c r="D9" s="48">
        <v>0.5</v>
      </c>
      <c r="E9" s="49">
        <f ca="1">Project_Start</f>
        <v>46147</v>
      </c>
      <c r="F9" s="49">
        <f ca="1">E9+3</f>
        <v>46150</v>
      </c>
      <c r="G9" s="17"/>
      <c r="H9" s="5">
        <f t="shared" ca="1"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4">
      <c r="A10" s="14"/>
      <c r="B10" s="51" t="s">
        <v>28</v>
      </c>
      <c r="C10" s="52" t="s">
        <v>22</v>
      </c>
      <c r="D10" s="53">
        <v>0.6</v>
      </c>
      <c r="E10" s="54">
        <f ca="1">F9</f>
        <v>46150</v>
      </c>
      <c r="F10" s="54">
        <f ca="1">E10+2</f>
        <v>46152</v>
      </c>
      <c r="G10" s="17"/>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4">
      <c r="A11" s="13"/>
      <c r="B11" s="51" t="s">
        <v>29</v>
      </c>
      <c r="C11" s="52" t="s">
        <v>23</v>
      </c>
      <c r="D11" s="53">
        <v>0.5</v>
      </c>
      <c r="E11" s="54">
        <f ca="1">F10</f>
        <v>46152</v>
      </c>
      <c r="F11" s="54">
        <f ca="1">E11+4</f>
        <v>46156</v>
      </c>
      <c r="G11" s="17"/>
      <c r="H11" s="5">
        <f t="shared" ca="1"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4">
      <c r="A12" s="13"/>
      <c r="B12" s="51" t="s">
        <v>30</v>
      </c>
      <c r="C12" s="52" t="s">
        <v>24</v>
      </c>
      <c r="D12" s="53">
        <v>0.25</v>
      </c>
      <c r="E12" s="54">
        <f ca="1">F11</f>
        <v>46156</v>
      </c>
      <c r="F12" s="54">
        <f ca="1">E12+5</f>
        <v>46161</v>
      </c>
      <c r="G12" s="17"/>
      <c r="H12" s="5">
        <f t="shared" ca="1" si="5"/>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4">
      <c r="A13" s="13"/>
      <c r="B13" s="51" t="s">
        <v>31</v>
      </c>
      <c r="C13" s="52" t="s">
        <v>25</v>
      </c>
      <c r="D13" s="53"/>
      <c r="E13" s="54">
        <f ca="1">E10+1</f>
        <v>46151</v>
      </c>
      <c r="F13" s="54">
        <f ca="1">E13+2</f>
        <v>46153</v>
      </c>
      <c r="G13" s="17"/>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x14ac:dyDescent="0.4">
      <c r="A14" s="14"/>
      <c r="B14" s="56" t="s">
        <v>32</v>
      </c>
      <c r="C14" s="57"/>
      <c r="D14" s="58"/>
      <c r="E14" s="59"/>
      <c r="F14" s="60"/>
      <c r="G14" s="17"/>
      <c r="H14" s="5" t="str">
        <f t="shared" si="5"/>
        <v/>
      </c>
    </row>
    <row r="15" spans="1:64" s="45" customFormat="1" ht="30" customHeight="1" thickBot="1" x14ac:dyDescent="0.4">
      <c r="A15" s="14"/>
      <c r="B15" s="61" t="s">
        <v>33</v>
      </c>
      <c r="C15" s="62" t="s">
        <v>21</v>
      </c>
      <c r="D15" s="63">
        <v>0.5</v>
      </c>
      <c r="E15" s="64">
        <f ca="1">E13+1</f>
        <v>46152</v>
      </c>
      <c r="F15" s="64">
        <f ca="1">E15+4</f>
        <v>46156</v>
      </c>
      <c r="G15" s="17"/>
      <c r="H15" s="5">
        <f t="shared" ca="1"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4">
      <c r="A16" s="13"/>
      <c r="B16" s="61" t="s">
        <v>34</v>
      </c>
      <c r="C16" s="62" t="s">
        <v>22</v>
      </c>
      <c r="D16" s="63">
        <v>0.5</v>
      </c>
      <c r="E16" s="64">
        <f ca="1">E15+2</f>
        <v>46154</v>
      </c>
      <c r="F16" s="64">
        <f ca="1">E16+5</f>
        <v>46159</v>
      </c>
      <c r="G16" s="17"/>
      <c r="H16" s="5">
        <f t="shared" ca="1" si="5"/>
        <v>6</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4">
      <c r="A17" s="13"/>
      <c r="B17" s="61" t="s">
        <v>35</v>
      </c>
      <c r="C17" s="62" t="s">
        <v>23</v>
      </c>
      <c r="D17" s="63"/>
      <c r="E17" s="64">
        <f ca="1">F16</f>
        <v>46159</v>
      </c>
      <c r="F17" s="64">
        <f ca="1">E17+3</f>
        <v>46162</v>
      </c>
      <c r="G17" s="17"/>
      <c r="H17" s="5">
        <f t="shared" ca="1" si="5"/>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4">
      <c r="A18" s="13"/>
      <c r="B18" s="61" t="s">
        <v>36</v>
      </c>
      <c r="C18" s="62" t="s">
        <v>24</v>
      </c>
      <c r="D18" s="63"/>
      <c r="E18" s="64">
        <f ca="1">E17</f>
        <v>46159</v>
      </c>
      <c r="F18" s="64">
        <f ca="1">E18+2</f>
        <v>46161</v>
      </c>
      <c r="G18" s="17"/>
      <c r="H18" s="5">
        <f t="shared" ca="1" si="5"/>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4">
      <c r="A19" s="13"/>
      <c r="B19" s="61" t="s">
        <v>37</v>
      </c>
      <c r="C19" s="62" t="s">
        <v>25</v>
      </c>
      <c r="D19" s="63"/>
      <c r="E19" s="64">
        <f ca="1">E18</f>
        <v>46159</v>
      </c>
      <c r="F19" s="64">
        <f ca="1">E19+3</f>
        <v>46162</v>
      </c>
      <c r="G19" s="17"/>
      <c r="H19" s="5">
        <f t="shared" ca="1"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4">
      <c r="A20" s="13"/>
      <c r="B20" s="65" t="s">
        <v>38</v>
      </c>
      <c r="C20" s="66"/>
      <c r="D20" s="67"/>
      <c r="E20" s="68"/>
      <c r="F20" s="69"/>
      <c r="G20" s="17"/>
      <c r="H20" s="5" t="str">
        <f t="shared"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x14ac:dyDescent="0.4">
      <c r="A21" s="13"/>
      <c r="B21" s="71" t="s">
        <v>39</v>
      </c>
      <c r="C21" s="72" t="s">
        <v>21</v>
      </c>
      <c r="D21" s="73">
        <v>0.5</v>
      </c>
      <c r="E21" s="74">
        <f ca="1">E9+15</f>
        <v>46162</v>
      </c>
      <c r="F21" s="74">
        <f ca="1">E21+5</f>
        <v>46167</v>
      </c>
      <c r="G21" s="17"/>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4">
      <c r="A22" s="13"/>
      <c r="B22" s="71" t="s">
        <v>40</v>
      </c>
      <c r="C22" s="72" t="s">
        <v>22</v>
      </c>
      <c r="D22" s="73">
        <v>0.6</v>
      </c>
      <c r="E22" s="74">
        <f ca="1">F21+1</f>
        <v>46168</v>
      </c>
      <c r="F22" s="74">
        <f ca="1">E22+4</f>
        <v>46172</v>
      </c>
      <c r="G22" s="17"/>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4">
      <c r="A23" s="13"/>
      <c r="B23" s="71" t="s">
        <v>41</v>
      </c>
      <c r="C23" s="72" t="s">
        <v>23</v>
      </c>
      <c r="D23" s="73">
        <v>0.5</v>
      </c>
      <c r="E23" s="74">
        <f ca="1">E22+5</f>
        <v>46173</v>
      </c>
      <c r="F23" s="74">
        <f ca="1">E23+5</f>
        <v>46178</v>
      </c>
      <c r="G23" s="17"/>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4">
      <c r="A24" s="13"/>
      <c r="B24" s="71" t="s">
        <v>42</v>
      </c>
      <c r="C24" s="72" t="s">
        <v>24</v>
      </c>
      <c r="D24" s="73">
        <v>0.25</v>
      </c>
      <c r="E24" s="74">
        <f ca="1">F23+1</f>
        <v>46179</v>
      </c>
      <c r="F24" s="74">
        <f ca="1">E24+4</f>
        <v>46183</v>
      </c>
      <c r="G24" s="17"/>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4">
      <c r="A25" s="13"/>
      <c r="B25" s="71" t="s">
        <v>43</v>
      </c>
      <c r="C25" s="72" t="s">
        <v>25</v>
      </c>
      <c r="D25" s="73">
        <v>0.25</v>
      </c>
      <c r="E25" s="74">
        <f ca="1">E23</f>
        <v>46173</v>
      </c>
      <c r="F25" s="74">
        <f ca="1">E25+4</f>
        <v>46177</v>
      </c>
      <c r="G25" s="17"/>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x14ac:dyDescent="0.4">
      <c r="A26" s="13"/>
      <c r="B26" s="75" t="s">
        <v>51</v>
      </c>
      <c r="C26" s="76"/>
      <c r="D26" s="77"/>
      <c r="E26" s="78"/>
      <c r="F26" s="79"/>
      <c r="G26" s="17"/>
      <c r="H26" s="5" t="str">
        <f t="shared"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x14ac:dyDescent="0.4">
      <c r="A27" s="13"/>
      <c r="B27" s="81" t="s">
        <v>40</v>
      </c>
      <c r="C27" s="82" t="s">
        <v>21</v>
      </c>
      <c r="D27" s="83">
        <v>0.25</v>
      </c>
      <c r="E27" s="84">
        <f ca="1">E21+2</f>
        <v>46164</v>
      </c>
      <c r="F27" s="84">
        <f ca="1">E27+3</f>
        <v>46167</v>
      </c>
      <c r="G27" s="17"/>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4">
      <c r="A28" s="13"/>
      <c r="B28" s="81" t="s">
        <v>44</v>
      </c>
      <c r="C28" s="82" t="s">
        <v>22</v>
      </c>
      <c r="D28" s="83">
        <v>0.25</v>
      </c>
      <c r="E28" s="84">
        <f ca="1">F27</f>
        <v>46167</v>
      </c>
      <c r="F28" s="84">
        <f ca="1">E28+4</f>
        <v>46171</v>
      </c>
      <c r="G28" s="17"/>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4">
      <c r="A29" s="13"/>
      <c r="B29" s="81" t="s">
        <v>45</v>
      </c>
      <c r="C29" s="82" t="s">
        <v>23</v>
      </c>
      <c r="D29" s="83">
        <v>0.5</v>
      </c>
      <c r="E29" s="84">
        <f ca="1">F28+1</f>
        <v>46172</v>
      </c>
      <c r="F29" s="84">
        <f ca="1">E29+3</f>
        <v>46175</v>
      </c>
      <c r="G29" s="17"/>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4">
      <c r="A30" s="13"/>
      <c r="B30" s="81" t="s">
        <v>46</v>
      </c>
      <c r="C30" s="82" t="s">
        <v>24</v>
      </c>
      <c r="D30" s="83">
        <v>0.6</v>
      </c>
      <c r="E30" s="84">
        <f ca="1">E27+5</f>
        <v>46169</v>
      </c>
      <c r="F30" s="84">
        <f ca="1">E30+3</f>
        <v>46172</v>
      </c>
      <c r="G30" s="17"/>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4">
      <c r="A31" s="13"/>
      <c r="B31" s="81" t="s">
        <v>47</v>
      </c>
      <c r="C31" s="82" t="s">
        <v>25</v>
      </c>
      <c r="D31" s="83">
        <v>0.5</v>
      </c>
      <c r="E31" s="84">
        <f ca="1">E27+7</f>
        <v>46171</v>
      </c>
      <c r="F31" s="84">
        <f ca="1">E31+5</f>
        <v>46176</v>
      </c>
      <c r="G31" s="17"/>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x14ac:dyDescent="0.4">
      <c r="A32" s="13"/>
      <c r="B32" s="85"/>
      <c r="C32" s="86"/>
      <c r="D32" s="87"/>
      <c r="E32" s="88"/>
      <c r="F32" s="88"/>
      <c r="G32" s="17"/>
      <c r="H32" s="5" t="str">
        <f t="shared"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x14ac:dyDescent="0.4">
      <c r="A33" s="14"/>
      <c r="B33" s="89" t="s">
        <v>0</v>
      </c>
      <c r="C33" s="90"/>
      <c r="D33" s="91"/>
      <c r="E33" s="92"/>
      <c r="F33" s="93"/>
      <c r="G33" s="17"/>
      <c r="H33" s="6" t="str">
        <f t="shared"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x14ac:dyDescent="0.35">
      <c r="G34" s="3"/>
    </row>
    <row r="35" spans="1:64" ht="30" customHeight="1" x14ac:dyDescent="0.35">
      <c r="C35" s="16"/>
      <c r="F35" s="15"/>
    </row>
    <row r="36" spans="1:64" ht="30" customHeight="1" x14ac:dyDescent="0.3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2.45" x14ac:dyDescent="0.3"/>
  <cols>
    <col min="1" max="1" width="87" style="7" customWidth="1"/>
    <col min="2" max="16384" width="9" style="1"/>
  </cols>
  <sheetData>
    <row r="1" spans="1:2" ht="46.5" customHeight="1" x14ac:dyDescent="0.3"/>
    <row r="2" spans="1:2" s="9" customFormat="1" ht="15.45" x14ac:dyDescent="0.35">
      <c r="A2" s="98" t="s">
        <v>8</v>
      </c>
      <c r="B2" s="8"/>
    </row>
    <row r="3" spans="1:2" s="11" customFormat="1" ht="27" customHeight="1" x14ac:dyDescent="0.35">
      <c r="A3" s="99"/>
      <c r="B3" s="12"/>
    </row>
    <row r="4" spans="1:2" s="10" customFormat="1" ht="31.3" x14ac:dyDescent="1.05">
      <c r="A4" s="100" t="s">
        <v>7</v>
      </c>
    </row>
    <row r="5" spans="1:2" ht="74.25" customHeight="1" x14ac:dyDescent="0.3">
      <c r="A5" s="101" t="s">
        <v>15</v>
      </c>
    </row>
    <row r="6" spans="1:2" ht="26.25" customHeight="1" x14ac:dyDescent="0.3">
      <c r="A6" s="100" t="s">
        <v>18</v>
      </c>
    </row>
    <row r="7" spans="1:2" s="7" customFormat="1" ht="205.1" customHeight="1" x14ac:dyDescent="0.35">
      <c r="A7" s="102" t="s">
        <v>17</v>
      </c>
    </row>
    <row r="8" spans="1:2" s="10" customFormat="1" ht="31.3" x14ac:dyDescent="1.05">
      <c r="A8" s="100" t="s">
        <v>9</v>
      </c>
    </row>
    <row r="9" spans="1:2" ht="56.6" x14ac:dyDescent="0.3">
      <c r="A9" s="101" t="s">
        <v>16</v>
      </c>
    </row>
    <row r="10" spans="1:2" s="7" customFormat="1" ht="28.1" customHeight="1" x14ac:dyDescent="0.35">
      <c r="A10" s="103" t="s">
        <v>14</v>
      </c>
    </row>
    <row r="11" spans="1:2" s="10" customFormat="1" ht="31.3" x14ac:dyDescent="1.05">
      <c r="A11" s="100" t="s">
        <v>6</v>
      </c>
    </row>
    <row r="12" spans="1:2" ht="28.3" x14ac:dyDescent="0.3">
      <c r="A12" s="101" t="s">
        <v>13</v>
      </c>
    </row>
    <row r="13" spans="1:2" s="7" customFormat="1" ht="28.1" customHeight="1" x14ac:dyDescent="0.35">
      <c r="A13" s="103" t="s">
        <v>2</v>
      </c>
    </row>
    <row r="14" spans="1:2" s="10" customFormat="1" ht="31.3" x14ac:dyDescent="1.05">
      <c r="A14" s="100" t="s">
        <v>10</v>
      </c>
    </row>
    <row r="15" spans="1:2" ht="75" customHeight="1" x14ac:dyDescent="0.3">
      <c r="A15" s="101" t="s">
        <v>11</v>
      </c>
    </row>
    <row r="16" spans="1:2" ht="70.75" x14ac:dyDescent="0.3">
      <c r="A16" s="101" t="s">
        <v>12</v>
      </c>
    </row>
    <row r="17" spans="1:1" x14ac:dyDescent="0.3">
      <c r="A17" s="104"/>
    </row>
    <row r="18" spans="1:1" x14ac:dyDescent="0.3">
      <c r="A18" s="104"/>
    </row>
    <row r="19" spans="1:1" x14ac:dyDescent="0.3">
      <c r="A19" s="104"/>
    </row>
    <row r="20" spans="1:1" x14ac:dyDescent="0.3">
      <c r="A20" s="104"/>
    </row>
    <row r="21" spans="1:1" x14ac:dyDescent="0.3">
      <c r="A21" s="104"/>
    </row>
    <row r="22" spans="1:1" x14ac:dyDescent="0.3">
      <c r="A22" s="104"/>
    </row>
    <row r="23" spans="1:1" x14ac:dyDescent="0.3">
      <c r="A23" s="104"/>
    </row>
    <row r="24" spans="1:1" x14ac:dyDescent="0.3">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Project schedule</vt:lpstr>
      <vt:lpstr>About</vt:lpstr>
      <vt:lpstr>Display_Week</vt:lpstr>
      <vt:lpstr>'Project schedule'!Drucktitel</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Engr. D. Chimezie</dc:creator>
  <dc:description/>
  <cp:lastModifiedBy>Engr. D. Chimezie</cp:lastModifiedBy>
  <dcterms:created xsi:type="dcterms:W3CDTF">2022-03-11T22:41:12Z</dcterms:created>
  <dcterms:modified xsi:type="dcterms:W3CDTF">2026-05-05T18:33:21Z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