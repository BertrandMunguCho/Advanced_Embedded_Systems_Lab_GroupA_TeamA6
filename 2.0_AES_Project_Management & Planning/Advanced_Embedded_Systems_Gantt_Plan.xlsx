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ie\Documents\Advanced_Embedded_Systems_Lab_Group_A6\2.0_AES_Project_Management &amp; Planning\"/>
    </mc:Choice>
  </mc:AlternateContent>
  <xr:revisionPtr revIDLastSave="0" documentId="13_ncr:1_{067FFF68-3033-420A-A5EE-C320343D899E}" xr6:coauthVersionLast="47" xr6:coauthVersionMax="47" xr10:uidLastSave="{00000000-0000-0000-0000-000000000000}"/>
  <bookViews>
    <workbookView xWindow="-103" yWindow="-103" windowWidth="33120" windowHeight="20057" activeTab="2" xr2:uid="{00000000-000D-0000-FFFF-FFFF00000000}"/>
  </bookViews>
  <sheets>
    <sheet name="Gantt Plan" sheetId="1" r:id="rId1"/>
    <sheet name="Summary" sheetId="2" r:id="rId2"/>
    <sheet name="Tea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B9" i="2"/>
  <c r="B8" i="2"/>
  <c r="F7" i="2"/>
  <c r="E7" i="2"/>
  <c r="B7" i="2"/>
  <c r="F6" i="2"/>
  <c r="E6" i="2"/>
  <c r="F5" i="2"/>
  <c r="E5" i="2"/>
  <c r="E4" i="2"/>
  <c r="B4" i="2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<sst xmlns="http://schemas.openxmlformats.org/spreadsheetml/2006/main" count="458" uniqueCount="181">
  <si>
    <t>Advanced Embedded Systems Lab Project – Detailed Gantt Plan</t>
  </si>
  <si>
    <t>WBS</t>
  </si>
  <si>
    <t>Phase</t>
  </si>
  <si>
    <t>Task</t>
  </si>
  <si>
    <t>Assigned To</t>
  </si>
  <si>
    <t>Email</t>
  </si>
  <si>
    <t>Progress</t>
  </si>
  <si>
    <t>Start</t>
  </si>
  <si>
    <t>End</t>
  </si>
  <si>
    <t>Duration</t>
  </si>
  <si>
    <t>Status</t>
  </si>
  <si>
    <t>Priority</t>
  </si>
  <si>
    <t>Quality Evidence / Notes</t>
  </si>
  <si>
    <t>1-01</t>
  </si>
  <si>
    <t>Initiation &amp; Requirements</t>
  </si>
  <si>
    <t>Analyze lab manual, assessment rubric, and 1.0 success criteria</t>
  </si>
  <si>
    <t>Riwaj Ghimire</t>
  </si>
  <si>
    <t>riwaj.ghimire@stud.hshl.de</t>
  </si>
  <si>
    <t>2026-05-05</t>
  </si>
  <si>
    <t>2026-05-07</t>
  </si>
  <si>
    <t>In Progress</t>
  </si>
  <si>
    <t>High</t>
  </si>
  <si>
    <t>Evidence required: screenshots, measurements, commit links, or test results.</t>
  </si>
  <si>
    <t>1-02</t>
  </si>
  <si>
    <t>Derive functional requirements and measurable acceptance criteria</t>
  </si>
  <si>
    <t>Stephen Uzochi Obuh</t>
  </si>
  <si>
    <t>stephen-uzochi.obuh@stud.hshl.de</t>
  </si>
  <si>
    <t>2026-05-06</t>
  </si>
  <si>
    <t>2026-05-09</t>
  </si>
  <si>
    <t>1-03</t>
  </si>
  <si>
    <t>Derive non-functional requirements: timing, robustness, power, safety</t>
  </si>
  <si>
    <t>Bertrand Mungu Cho</t>
  </si>
  <si>
    <t>bertrand-mungu.cho@stud.hshl.de</t>
  </si>
  <si>
    <t>2026-05-11</t>
  </si>
  <si>
    <t>1-04</t>
  </si>
  <si>
    <t>Identify target MCU, sensor/actuator interfaces, and resource limits</t>
  </si>
  <si>
    <t>Daniel Chidi Chimezie</t>
  </si>
  <si>
    <t>daniel-chidi.chimezie@stud.hshl.de</t>
  </si>
  <si>
    <t>2026-05-08</t>
  </si>
  <si>
    <t>2026-05-13</t>
  </si>
  <si>
    <t>Not Started</t>
  </si>
  <si>
    <t>Medium</t>
  </si>
  <si>
    <t>1-05</t>
  </si>
  <si>
    <t>Create system context diagram and signal-flow overview</t>
  </si>
  <si>
    <t>1-06</t>
  </si>
  <si>
    <t>Define hardware/software boundary and module ownership</t>
  </si>
  <si>
    <t>2026-05-10</t>
  </si>
  <si>
    <t>1-07</t>
  </si>
  <si>
    <t>Establish Git repository, branch strategy, and issue board</t>
  </si>
  <si>
    <t>2026-05-15</t>
  </si>
  <si>
    <t>1-08</t>
  </si>
  <si>
    <t>Create documentation template for requirements-to-test traceability</t>
  </si>
  <si>
    <t>2026-05-12</t>
  </si>
  <si>
    <t>2026-05-17</t>
  </si>
  <si>
    <t>1-09</t>
  </si>
  <si>
    <t>Define initial bill of materials and toolchain versions</t>
  </si>
  <si>
    <t>Low</t>
  </si>
  <si>
    <t>1-10</t>
  </si>
  <si>
    <t>Prepare risk register for hardware, firmware, timing, and integration</t>
  </si>
  <si>
    <t>2026-05-14</t>
  </si>
  <si>
    <t>2-01</t>
  </si>
  <si>
    <t>Architecture &amp; Detailed Design</t>
  </si>
  <si>
    <t>Design firmware architecture with layered HAL, drivers, services, and application logic</t>
  </si>
  <si>
    <t>2-02</t>
  </si>
  <si>
    <t>Create microcontroller pin map and alternate-function allocation</t>
  </si>
  <si>
    <t>2026-05-16</t>
  </si>
  <si>
    <t>2026-05-19</t>
  </si>
  <si>
    <t>2-03</t>
  </si>
  <si>
    <t>Design peripheral configuration plan for GPIO, ADC, PWM, UART, SPI, and I²C</t>
  </si>
  <si>
    <t>2026-05-21</t>
  </si>
  <si>
    <t>2-04</t>
  </si>
  <si>
    <t>Specify real-time scheduling strategy and task-period budget</t>
  </si>
  <si>
    <t>2026-05-18</t>
  </si>
  <si>
    <t>2026-05-23</t>
  </si>
  <si>
    <t>2-05</t>
  </si>
  <si>
    <t>Define interrupt architecture, priorities, and shared-resource protection</t>
  </si>
  <si>
    <t>2-06</t>
  </si>
  <si>
    <t>Design sensor acquisition pipeline with filtering and calibration points</t>
  </si>
  <si>
    <t>2026-05-20</t>
  </si>
  <si>
    <t>2-07</t>
  </si>
  <si>
    <t>Design actuator/control output interface and fail-safe behavior</t>
  </si>
  <si>
    <t>2026-05-25</t>
  </si>
  <si>
    <t>2-08</t>
  </si>
  <si>
    <t>Define communication protocol, packet format, and error handling</t>
  </si>
  <si>
    <t>2026-05-22</t>
  </si>
  <si>
    <t>2026-05-27</t>
  </si>
  <si>
    <t>2-09</t>
  </si>
  <si>
    <t>Create state-machine model for system behavior and fault modes</t>
  </si>
  <si>
    <t>2-10</t>
  </si>
  <si>
    <t>Prepare test plan: unit tests, integration tests, HIL tests, and demo criteria</t>
  </si>
  <si>
    <t>2026-05-24</t>
  </si>
  <si>
    <t>3-01</t>
  </si>
  <si>
    <t>Implementation &amp; Integration</t>
  </si>
  <si>
    <t>Configure toolchain, compiler settings, warnings, and static-analysis rules</t>
  </si>
  <si>
    <t>3-02</t>
  </si>
  <si>
    <t>Implement board support package and clock/tree initialization</t>
  </si>
  <si>
    <t>2026-05-26</t>
  </si>
  <si>
    <t>2026-05-29</t>
  </si>
  <si>
    <t>3-03</t>
  </si>
  <si>
    <t>Implement GPIO, ADC, timer/PWM, UART, SPI, and I²C driver wrappers</t>
  </si>
  <si>
    <t>2026-05-31</t>
  </si>
  <si>
    <t>3-04</t>
  </si>
  <si>
    <t>Implement sensor acquisition module with timestamped sampling</t>
  </si>
  <si>
    <t>2026-05-28</t>
  </si>
  <si>
    <t>2026-06-02</t>
  </si>
  <si>
    <t>3-05</t>
  </si>
  <si>
    <t>Implement digital filtering, debouncing, and signal conditioning</t>
  </si>
  <si>
    <t>3-06</t>
  </si>
  <si>
    <t>Implement actuator/control module with saturation and safety limits</t>
  </si>
  <si>
    <t>2026-05-30</t>
  </si>
  <si>
    <t>3-07</t>
  </si>
  <si>
    <t>Implement application-level finite-state machine</t>
  </si>
  <si>
    <t>2026-06-04</t>
  </si>
  <si>
    <t>3-08</t>
  </si>
  <si>
    <t>Implement communication telemetry and diagnostic logging</t>
  </si>
  <si>
    <t>2026-06-01</t>
  </si>
  <si>
    <t>2026-06-06</t>
  </si>
  <si>
    <t>3-09</t>
  </si>
  <si>
    <t>Integrate modules using Git pull requests and code review checklist</t>
  </si>
  <si>
    <t>3-10</t>
  </si>
  <si>
    <t>Build first hardware-in-the-loop prototype and verify signal paths</t>
  </si>
  <si>
    <t>2026-06-03</t>
  </si>
  <si>
    <t>4-01</t>
  </si>
  <si>
    <t>Verification, Optimization &amp; Delivery</t>
  </si>
  <si>
    <t>Run unit tests for drivers, conversion routines, and state transitions</t>
  </si>
  <si>
    <t>4-02</t>
  </si>
  <si>
    <t>Execute integration tests for sensor-to-control data flow</t>
  </si>
  <si>
    <t>2026-06-05</t>
  </si>
  <si>
    <t>2026-06-08</t>
  </si>
  <si>
    <t>4-03</t>
  </si>
  <si>
    <t>Validate real-time deadlines using oscilloscope/logic-analyzer measurements</t>
  </si>
  <si>
    <t>2026-06-10</t>
  </si>
  <si>
    <t>4-04</t>
  </si>
  <si>
    <t>Perform fault-injection tests: disconnected sensor, invalid packet, timeout</t>
  </si>
  <si>
    <t>2026-06-07</t>
  </si>
  <si>
    <t>2026-06-12</t>
  </si>
  <si>
    <t>4-05</t>
  </si>
  <si>
    <t>Measure CPU load, memory usage, stack margin, and timing jitter</t>
  </si>
  <si>
    <t>4-06</t>
  </si>
  <si>
    <t>Optimize power consumption and execution efficiency</t>
  </si>
  <si>
    <t>2026-06-09</t>
  </si>
  <si>
    <t>4-07</t>
  </si>
  <si>
    <t>Update requirements-to-test traceability matrix with evidence</t>
  </si>
  <si>
    <t>2026-06-14</t>
  </si>
  <si>
    <t>4-08</t>
  </si>
  <si>
    <t>Prepare final demonstration script and backup demo scenario</t>
  </si>
  <si>
    <t>2026-06-11</t>
  </si>
  <si>
    <t>2026-06-16</t>
  </si>
  <si>
    <t>4-09</t>
  </si>
  <si>
    <t>Write final lab report with architecture, results, and engineering justification</t>
  </si>
  <si>
    <t>4-10</t>
  </si>
  <si>
    <t>Rehearse presentation and finalize submission package</t>
  </si>
  <si>
    <t>2026-06-13</t>
  </si>
  <si>
    <t>Advanced Embedded Systems Gantt Summary</t>
  </si>
  <si>
    <t>Metric</t>
  </si>
  <si>
    <t>Value</t>
  </si>
  <si>
    <t>Task Count</t>
  </si>
  <si>
    <t>Avg Progress</t>
  </si>
  <si>
    <t>Total tasks</t>
  </si>
  <si>
    <t>Project start</t>
  </si>
  <si>
    <t>Project end</t>
  </si>
  <si>
    <t>2026-06-18</t>
  </si>
  <si>
    <t>Average progress</t>
  </si>
  <si>
    <t>High-priority tasks</t>
  </si>
  <si>
    <t>Open / not started tasks</t>
  </si>
  <si>
    <t>Team Members and Equal Task Distribution</t>
  </si>
  <si>
    <t>Surname</t>
  </si>
  <si>
    <t>First Name(s)</t>
  </si>
  <si>
    <t>Group</t>
  </si>
  <si>
    <t>Room</t>
  </si>
  <si>
    <t>Ghimire</t>
  </si>
  <si>
    <t>Riwaj</t>
  </si>
  <si>
    <t>Group A</t>
  </si>
  <si>
    <t>A6</t>
  </si>
  <si>
    <t>Obuh</t>
  </si>
  <si>
    <t>Stephen Uzochi</t>
  </si>
  <si>
    <t>Cho</t>
  </si>
  <si>
    <t>Bertrand Mungu</t>
  </si>
  <si>
    <t>Chimezie</t>
  </si>
  <si>
    <t>Daniel Chidi</t>
  </si>
  <si>
    <t>Advanced Embedded Systems Lab execution through traceable requirements, robust firmware architecture, disciplined verification, and evidence-based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</si>
</sst>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.d\.yy"/>
    <numFmt numFmtId="165" formatCode="d"/>
    <numFmt numFmtId="166" formatCode=";;;"/>
  </numFmts>
  <fonts count="10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0"/>
      <color rgb="FFFFFFFF"/>
      <name val="Arial"/>
    </font>
    <font>
      <sz val="10"/>
      <name val="Arial"/>
    </font>
    <font>
      <i/>
      <sz val="10"/>
      <color rgb="FF111827"/>
      <name val="Arial"/>
    </font>
    <font>
      <b/>
      <sz val="16"/>
      <color rgb="FFFFFFFF"/>
      <name val="Arial"/>
    </font>
    <font>
      <b/>
      <sz val="10"/>
      <color rgb="FFB91C1C"/>
      <name val="Arial"/>
    </font>
    <font>
      <sz val="10"/>
      <color rgb="FF111827"/>
      <name val="Arial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374151"/>
      </patternFill>
    </fill>
    <fill>
      <patternFill patternType="solid">
        <fgColor rgb="FFEDE9FE"/>
      </patternFill>
    </fill>
    <fill>
      <patternFill patternType="solid">
        <fgColor rgb="FFFCE7F3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37">
    <xf numFmtId="0" fontId="0" fillId="0" borderId="0" xfId="0"/>
    <xf numFmtId="0" fontId="2" fillId="4" borderId="0" xfId="1" applyFont="1" applyFill="1" applyAlignment="1">
      <alignment horizontal="center" vertical="center" wrapText="1"/>
    </xf>
    <xf numFmtId="0" fontId="4" fillId="0" borderId="0" xfId="1" applyFont="1"/>
    <xf numFmtId="0" fontId="3" fillId="4" borderId="0" xfId="1" applyFont="1" applyFill="1" applyAlignment="1">
      <alignment horizontal="center" vertical="center" wrapText="1"/>
    </xf>
    <xf numFmtId="165" fontId="3" fillId="4" borderId="0" xfId="1" applyNumberFormat="1" applyFont="1" applyFill="1" applyAlignment="1">
      <alignment horizontal="center" vertical="center" wrapText="1"/>
    </xf>
    <xf numFmtId="164" fontId="0" fillId="0" borderId="0" xfId="1" applyNumberFormat="1" applyFont="1"/>
    <xf numFmtId="9" fontId="0" fillId="0" borderId="0" xfId="1" applyNumberFormat="1" applyFont="1"/>
    <xf numFmtId="49" fontId="4" fillId="5" borderId="0" xfId="1" applyNumberFormat="1" applyFont="1" applyFill="1" applyAlignment="1">
      <alignment wrapText="1"/>
    </xf>
    <xf numFmtId="0" fontId="4" fillId="5" borderId="0" xfId="1" applyFont="1" applyFill="1" applyAlignment="1">
      <alignment wrapText="1"/>
    </xf>
    <xf numFmtId="9" fontId="4" fillId="5" borderId="0" xfId="1" applyNumberFormat="1" applyFont="1" applyFill="1" applyAlignment="1">
      <alignment wrapText="1"/>
    </xf>
    <xf numFmtId="166" fontId="4" fillId="5" borderId="0" xfId="1" applyNumberFormat="1" applyFont="1" applyFill="1"/>
    <xf numFmtId="49" fontId="4" fillId="6" borderId="0" xfId="1" applyNumberFormat="1" applyFont="1" applyFill="1" applyAlignment="1">
      <alignment wrapText="1"/>
    </xf>
    <xf numFmtId="0" fontId="4" fillId="6" borderId="0" xfId="1" applyFont="1" applyFill="1" applyAlignment="1">
      <alignment wrapText="1"/>
    </xf>
    <xf numFmtId="9" fontId="4" fillId="6" borderId="0" xfId="1" applyNumberFormat="1" applyFont="1" applyFill="1" applyAlignment="1">
      <alignment wrapText="1"/>
    </xf>
    <xf numFmtId="166" fontId="4" fillId="6" borderId="0" xfId="1" applyNumberFormat="1" applyFont="1" applyFill="1"/>
    <xf numFmtId="49" fontId="4" fillId="7" borderId="0" xfId="1" applyNumberFormat="1" applyFont="1" applyFill="1" applyAlignment="1">
      <alignment wrapText="1"/>
    </xf>
    <xf numFmtId="0" fontId="4" fillId="7" borderId="0" xfId="1" applyFont="1" applyFill="1" applyAlignment="1">
      <alignment wrapText="1"/>
    </xf>
    <xf numFmtId="9" fontId="4" fillId="7" borderId="0" xfId="1" applyNumberFormat="1" applyFont="1" applyFill="1" applyAlignment="1">
      <alignment wrapText="1"/>
    </xf>
    <xf numFmtId="166" fontId="4" fillId="7" borderId="0" xfId="1" applyNumberFormat="1" applyFont="1" applyFill="1"/>
    <xf numFmtId="49" fontId="4" fillId="8" borderId="0" xfId="1" applyNumberFormat="1" applyFont="1" applyFill="1" applyAlignment="1">
      <alignment wrapText="1"/>
    </xf>
    <xf numFmtId="0" fontId="4" fillId="8" borderId="0" xfId="1" applyFont="1" applyFill="1" applyAlignment="1">
      <alignment wrapText="1"/>
    </xf>
    <xf numFmtId="9" fontId="4" fillId="8" borderId="0" xfId="1" applyNumberFormat="1" applyFont="1" applyFill="1" applyAlignment="1">
      <alignment wrapText="1"/>
    </xf>
    <xf numFmtId="166" fontId="4" fillId="8" borderId="0" xfId="1" applyNumberFormat="1" applyFont="1" applyFill="1"/>
    <xf numFmtId="166" fontId="4" fillId="3" borderId="0" xfId="1" applyNumberFormat="1" applyFont="1" applyFill="1"/>
    <xf numFmtId="166" fontId="4" fillId="9" borderId="0" xfId="1" applyNumberFormat="1" applyFont="1" applyFill="1"/>
    <xf numFmtId="0" fontId="7" fillId="5" borderId="0" xfId="1" applyFont="1" applyFill="1" applyAlignment="1">
      <alignment wrapText="1"/>
    </xf>
    <xf numFmtId="0" fontId="8" fillId="5" borderId="0" xfId="1" applyFont="1" applyFill="1" applyAlignment="1">
      <alignment wrapText="1"/>
    </xf>
    <xf numFmtId="0" fontId="7" fillId="6" borderId="0" xfId="1" applyFont="1" applyFill="1" applyAlignment="1">
      <alignment wrapText="1"/>
    </xf>
    <xf numFmtId="0" fontId="8" fillId="6" borderId="0" xfId="1" applyFont="1" applyFill="1" applyAlignment="1">
      <alignment wrapText="1"/>
    </xf>
    <xf numFmtId="0" fontId="7" fillId="7" borderId="0" xfId="1" applyFont="1" applyFill="1" applyAlignment="1">
      <alignment wrapText="1"/>
    </xf>
    <xf numFmtId="0" fontId="8" fillId="7" borderId="0" xfId="1" applyFont="1" applyFill="1" applyAlignment="1">
      <alignment wrapText="1"/>
    </xf>
    <xf numFmtId="0" fontId="7" fillId="8" borderId="0" xfId="1" applyFont="1" applyFill="1" applyAlignment="1">
      <alignment wrapText="1"/>
    </xf>
    <xf numFmtId="0" fontId="8" fillId="8" borderId="0" xfId="1" applyFont="1" applyFill="1" applyAlignment="1">
      <alignment wrapText="1"/>
    </xf>
    <xf numFmtId="0" fontId="6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Standard" xfId="0" builtinId="0"/>
  </cellStyles>
  <dxfs count="2">
    <dxf>
      <fill>
        <patternFill patternType="solid">
          <bgColor rgb="FF2563EB"/>
        </patternFill>
      </fill>
    </dxf>
    <dxf>
      <fill>
        <patternFill patternType="solid">
          <bgColor rgb="FFE5E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Task Count</c:v>
          </c:tx>
          <c:invertIfNegative val="1"/>
          <c:cat>
            <c:strRef>
              <c:f>Summary!$D$4:$D$7</c:f>
              <c:strCache>
                <c:ptCount val="4"/>
                <c:pt idx="0">
                  <c:v>Riwaj Ghimire</c:v>
                </c:pt>
                <c:pt idx="1">
                  <c:v>Stephen Uzochi Obuh</c:v>
                </c:pt>
                <c:pt idx="2">
                  <c:v>Bertrand Mungu Cho</c:v>
                </c:pt>
                <c:pt idx="3">
                  <c:v>Daniel Chidi Chimezie</c:v>
                </c:pt>
              </c:strCache>
            </c:strRef>
          </c:cat>
          <c:val>
            <c:numRef>
              <c:f>Summary!$E$4:$E$7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9-4ED4-8B1E-F273815D2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Average Progress</c:v>
          </c:tx>
          <c:invertIfNegative val="1"/>
          <c:cat>
            <c:strRef>
              <c:f>Summary!$D$4:$D$7</c:f>
              <c:strCache>
                <c:ptCount val="4"/>
                <c:pt idx="0">
                  <c:v>Riwaj Ghimire</c:v>
                </c:pt>
                <c:pt idx="1">
                  <c:v>Stephen Uzochi Obuh</c:v>
                </c:pt>
                <c:pt idx="2">
                  <c:v>Bertrand Mungu Cho</c:v>
                </c:pt>
                <c:pt idx="3">
                  <c:v>Daniel Chidi Chimezie</c:v>
                </c:pt>
              </c:strCache>
            </c:strRef>
          </c:cat>
          <c:val>
            <c:numRef>
              <c:f>Summary!$F$4:$F$7</c:f>
              <c:numCache>
                <c:formatCode>0%</c:formatCode>
                <c:ptCount val="4"/>
                <c:pt idx="0">
                  <c:v>0.45999999999999996</c:v>
                </c:pt>
                <c:pt idx="1">
                  <c:v>0.4</c:v>
                </c:pt>
                <c:pt idx="2">
                  <c:v>0.46000000000000008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1-437C-B44F-F60AC05E6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Register" displayName="TaskRegister" ref="A5:L45">
  <tableColumns count="12">
    <tableColumn id="1" xr3:uid="{00000000-0010-0000-0000-000001000000}" name="WBS"/>
    <tableColumn id="2" xr3:uid="{00000000-0010-0000-0000-000002000000}" name="Phase"/>
    <tableColumn id="3" xr3:uid="{00000000-0010-0000-0000-000003000000}" name="Task"/>
    <tableColumn id="4" xr3:uid="{00000000-0010-0000-0000-000004000000}" name="Assigned To"/>
    <tableColumn id="5" xr3:uid="{00000000-0010-0000-0000-000005000000}" name="Email"/>
    <tableColumn id="6" xr3:uid="{00000000-0010-0000-0000-000006000000}" name="Progress"/>
    <tableColumn id="7" xr3:uid="{00000000-0010-0000-0000-000007000000}" name="Start"/>
    <tableColumn id="8" xr3:uid="{00000000-0010-0000-0000-000008000000}" name="End"/>
    <tableColumn id="9" xr3:uid="{00000000-0010-0000-0000-000009000000}" name="Duration"/>
    <tableColumn id="10" xr3:uid="{00000000-0010-0000-0000-00000A000000}" name="Status"/>
    <tableColumn id="11" xr3:uid="{00000000-0010-0000-0000-00000B000000}" name="Priority"/>
    <tableColumn id="12" xr3:uid="{00000000-0010-0000-0000-00000C000000}" name="Quality Evidence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mTable" displayName="TeamTable" ref="A3:E7">
  <tableColumns count="5">
    <tableColumn id="1" xr3:uid="{00000000-0010-0000-0100-000001000000}" name="Surname"/>
    <tableColumn id="2" xr3:uid="{00000000-0010-0000-0100-000002000000}" name="First Name(s)"/>
    <tableColumn id="3" xr3:uid="{00000000-0010-0000-0100-000003000000}" name="Email"/>
    <tableColumn id="4" xr3:uid="{00000000-0010-0000-0100-000004000000}" name="Group"/>
    <tableColumn id="5" xr3:uid="{00000000-0010-0000-0100-000005000000}" name="Ro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5"/>
  <sheetViews>
    <sheetView workbookViewId="0">
      <selection activeCell="H12" sqref="H12"/>
    </sheetView>
  </sheetViews>
  <sheetFormatPr baseColWidth="10" defaultColWidth="9.140625" defaultRowHeight="14.15"/>
  <cols>
    <col min="1" max="1" width="8" customWidth="1"/>
    <col min="2" max="2" width="24" customWidth="1"/>
    <col min="3" max="3" width="48" customWidth="1"/>
    <col min="4" max="4" width="22" customWidth="1"/>
    <col min="5" max="5" width="32" customWidth="1"/>
    <col min="6" max="6" width="10" customWidth="1"/>
    <col min="7" max="8" width="12" customWidth="1"/>
    <col min="9" max="9" width="10" customWidth="1"/>
    <col min="10" max="10" width="14" customWidth="1"/>
    <col min="11" max="11" width="10" customWidth="1"/>
    <col min="12" max="12" width="42" customWidth="1"/>
    <col min="13" max="57" width="3" customWidth="1"/>
  </cols>
  <sheetData>
    <row r="1" spans="1:57" ht="16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20.6" customHeight="1">
      <c r="A2" s="35" t="s">
        <v>180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5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ht="17.149999999999999" customHeight="1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4">
        <v>46147</v>
      </c>
      <c r="N5" s="4">
        <v>46148</v>
      </c>
      <c r="O5" s="4">
        <v>46149</v>
      </c>
      <c r="P5" s="4">
        <v>46150</v>
      </c>
      <c r="Q5" s="4">
        <v>46151</v>
      </c>
      <c r="R5" s="4">
        <v>46152</v>
      </c>
      <c r="S5" s="4">
        <v>46153</v>
      </c>
      <c r="T5" s="4">
        <v>46154</v>
      </c>
      <c r="U5" s="4">
        <v>46155</v>
      </c>
      <c r="V5" s="4">
        <v>46156</v>
      </c>
      <c r="W5" s="4">
        <v>46157</v>
      </c>
      <c r="X5" s="4">
        <v>46158</v>
      </c>
      <c r="Y5" s="4">
        <v>46159</v>
      </c>
      <c r="Z5" s="4">
        <v>46160</v>
      </c>
      <c r="AA5" s="4">
        <v>46161</v>
      </c>
      <c r="AB5" s="4">
        <v>46162</v>
      </c>
      <c r="AC5" s="4">
        <v>46163</v>
      </c>
      <c r="AD5" s="4">
        <v>46164</v>
      </c>
      <c r="AE5" s="4">
        <v>46165</v>
      </c>
      <c r="AF5" s="4">
        <v>46166</v>
      </c>
      <c r="AG5" s="4">
        <v>46167</v>
      </c>
      <c r="AH5" s="4">
        <v>46168</v>
      </c>
      <c r="AI5" s="4">
        <v>46169</v>
      </c>
      <c r="AJ5" s="4">
        <v>46170</v>
      </c>
      <c r="AK5" s="4">
        <v>46171</v>
      </c>
      <c r="AL5" s="4">
        <v>46172</v>
      </c>
      <c r="AM5" s="4">
        <v>46173</v>
      </c>
      <c r="AN5" s="4">
        <v>46174</v>
      </c>
      <c r="AO5" s="4">
        <v>46175</v>
      </c>
      <c r="AP5" s="4">
        <v>46176</v>
      </c>
      <c r="AQ5" s="4">
        <v>46177</v>
      </c>
      <c r="AR5" s="4">
        <v>46178</v>
      </c>
      <c r="AS5" s="4">
        <v>46179</v>
      </c>
      <c r="AT5" s="4">
        <v>46180</v>
      </c>
      <c r="AU5" s="4">
        <v>46181</v>
      </c>
      <c r="AV5" s="4">
        <v>46182</v>
      </c>
      <c r="AW5" s="4">
        <v>46183</v>
      </c>
      <c r="AX5" s="4">
        <v>46184</v>
      </c>
      <c r="AY5" s="4">
        <v>46185</v>
      </c>
      <c r="AZ5" s="4">
        <v>46186</v>
      </c>
      <c r="BA5" s="4">
        <v>46187</v>
      </c>
      <c r="BB5" s="4">
        <v>46188</v>
      </c>
      <c r="BC5" s="4">
        <v>46189</v>
      </c>
      <c r="BD5" s="4">
        <v>46190</v>
      </c>
      <c r="BE5" s="4">
        <v>46191</v>
      </c>
    </row>
    <row r="6" spans="1:57" ht="13.75" customHeight="1">
      <c r="A6" s="7" t="s">
        <v>13</v>
      </c>
      <c r="B6" s="8" t="s">
        <v>14</v>
      </c>
      <c r="C6" s="8" t="s">
        <v>15</v>
      </c>
      <c r="D6" s="8" t="s">
        <v>16</v>
      </c>
      <c r="E6" s="8" t="s">
        <v>17</v>
      </c>
      <c r="F6" s="9">
        <v>0.7</v>
      </c>
      <c r="G6" s="7" t="s">
        <v>18</v>
      </c>
      <c r="H6" s="7" t="s">
        <v>19</v>
      </c>
      <c r="I6" s="8">
        <f t="shared" ref="I6:I45" si="0">DATEVALUE(H6)-DATEVALUE(G6)+1</f>
        <v>3</v>
      </c>
      <c r="J6" s="8" t="s">
        <v>20</v>
      </c>
      <c r="K6" s="25" t="s">
        <v>21</v>
      </c>
      <c r="L6" s="8" t="s">
        <v>22</v>
      </c>
      <c r="M6" s="24"/>
      <c r="N6" s="24"/>
      <c r="O6" s="24"/>
      <c r="P6" s="10"/>
      <c r="Q6" s="23"/>
      <c r="R6" s="23"/>
      <c r="S6" s="10"/>
      <c r="T6" s="10"/>
      <c r="U6" s="10"/>
      <c r="V6" s="10"/>
      <c r="W6" s="10"/>
      <c r="X6" s="23"/>
      <c r="Y6" s="23"/>
      <c r="Z6" s="10"/>
      <c r="AA6" s="10"/>
      <c r="AB6" s="10"/>
      <c r="AC6" s="10"/>
      <c r="AD6" s="10"/>
      <c r="AE6" s="23"/>
      <c r="AF6" s="23"/>
      <c r="AG6" s="10"/>
      <c r="AH6" s="10"/>
      <c r="AI6" s="10"/>
      <c r="AJ6" s="10"/>
      <c r="AK6" s="10"/>
      <c r="AL6" s="23"/>
      <c r="AM6" s="23"/>
      <c r="AN6" s="10"/>
      <c r="AO6" s="10"/>
      <c r="AP6" s="10"/>
      <c r="AQ6" s="10"/>
      <c r="AR6" s="10"/>
      <c r="AS6" s="23"/>
      <c r="AT6" s="23"/>
      <c r="AU6" s="10"/>
      <c r="AV6" s="10"/>
      <c r="AW6" s="10"/>
      <c r="AX6" s="10"/>
      <c r="AY6" s="10"/>
      <c r="AZ6" s="23"/>
      <c r="BA6" s="23"/>
      <c r="BB6" s="10"/>
      <c r="BC6" s="10"/>
      <c r="BD6" s="10"/>
      <c r="BE6" s="10"/>
    </row>
    <row r="7" spans="1:57" ht="13.75" customHeight="1">
      <c r="A7" s="7" t="s">
        <v>23</v>
      </c>
      <c r="B7" s="8" t="s">
        <v>14</v>
      </c>
      <c r="C7" s="8" t="s">
        <v>24</v>
      </c>
      <c r="D7" s="8" t="s">
        <v>25</v>
      </c>
      <c r="E7" s="8" t="s">
        <v>26</v>
      </c>
      <c r="F7" s="9">
        <v>0.6</v>
      </c>
      <c r="G7" s="7" t="s">
        <v>27</v>
      </c>
      <c r="H7" s="7" t="s">
        <v>28</v>
      </c>
      <c r="I7" s="8">
        <f t="shared" si="0"/>
        <v>4</v>
      </c>
      <c r="J7" s="8" t="s">
        <v>20</v>
      </c>
      <c r="K7" s="25" t="s">
        <v>21</v>
      </c>
      <c r="L7" s="8" t="s">
        <v>22</v>
      </c>
      <c r="M7" s="10"/>
      <c r="N7" s="24"/>
      <c r="O7" s="24"/>
      <c r="P7" s="24"/>
      <c r="Q7" s="24"/>
      <c r="R7" s="23"/>
      <c r="S7" s="10"/>
      <c r="T7" s="10"/>
      <c r="U7" s="10"/>
      <c r="V7" s="10"/>
      <c r="W7" s="10"/>
      <c r="X7" s="23"/>
      <c r="Y7" s="23"/>
      <c r="Z7" s="10"/>
      <c r="AA7" s="10"/>
      <c r="AB7" s="10"/>
      <c r="AC7" s="10"/>
      <c r="AD7" s="10"/>
      <c r="AE7" s="23"/>
      <c r="AF7" s="23"/>
      <c r="AG7" s="10"/>
      <c r="AH7" s="10"/>
      <c r="AI7" s="10"/>
      <c r="AJ7" s="10"/>
      <c r="AK7" s="10"/>
      <c r="AL7" s="23"/>
      <c r="AM7" s="23"/>
      <c r="AN7" s="10"/>
      <c r="AO7" s="10"/>
      <c r="AP7" s="10"/>
      <c r="AQ7" s="10"/>
      <c r="AR7" s="10"/>
      <c r="AS7" s="23"/>
      <c r="AT7" s="23"/>
      <c r="AU7" s="10"/>
      <c r="AV7" s="10"/>
      <c r="AW7" s="10"/>
      <c r="AX7" s="10"/>
      <c r="AY7" s="10"/>
      <c r="AZ7" s="23"/>
      <c r="BA7" s="23"/>
      <c r="BB7" s="10"/>
      <c r="BC7" s="10"/>
      <c r="BD7" s="10"/>
      <c r="BE7" s="10"/>
    </row>
    <row r="8" spans="1:57" ht="13.75" customHeight="1">
      <c r="A8" s="7" t="s">
        <v>29</v>
      </c>
      <c r="B8" s="8" t="s">
        <v>14</v>
      </c>
      <c r="C8" s="8" t="s">
        <v>30</v>
      </c>
      <c r="D8" s="8" t="s">
        <v>31</v>
      </c>
      <c r="E8" s="8" t="s">
        <v>32</v>
      </c>
      <c r="F8" s="9">
        <v>0.55000000000000004</v>
      </c>
      <c r="G8" s="7" t="s">
        <v>19</v>
      </c>
      <c r="H8" s="7" t="s">
        <v>33</v>
      </c>
      <c r="I8" s="8">
        <f t="shared" si="0"/>
        <v>5</v>
      </c>
      <c r="J8" s="8" t="s">
        <v>20</v>
      </c>
      <c r="K8" s="25" t="s">
        <v>21</v>
      </c>
      <c r="L8" s="8" t="s">
        <v>22</v>
      </c>
      <c r="M8" s="10"/>
      <c r="N8" s="10"/>
      <c r="O8" s="24"/>
      <c r="P8" s="24"/>
      <c r="Q8" s="24"/>
      <c r="R8" s="24"/>
      <c r="S8" s="24"/>
      <c r="T8" s="10"/>
      <c r="U8" s="10"/>
      <c r="V8" s="10"/>
      <c r="W8" s="10"/>
      <c r="X8" s="23"/>
      <c r="Y8" s="23"/>
      <c r="Z8" s="10"/>
      <c r="AA8" s="10"/>
      <c r="AB8" s="10"/>
      <c r="AC8" s="10"/>
      <c r="AD8" s="10"/>
      <c r="AE8" s="23"/>
      <c r="AF8" s="23"/>
      <c r="AG8" s="10"/>
      <c r="AH8" s="10"/>
      <c r="AI8" s="10"/>
      <c r="AJ8" s="10"/>
      <c r="AK8" s="10"/>
      <c r="AL8" s="23"/>
      <c r="AM8" s="23"/>
      <c r="AN8" s="10"/>
      <c r="AO8" s="10"/>
      <c r="AP8" s="10"/>
      <c r="AQ8" s="10"/>
      <c r="AR8" s="10"/>
      <c r="AS8" s="23"/>
      <c r="AT8" s="23"/>
      <c r="AU8" s="10"/>
      <c r="AV8" s="10"/>
      <c r="AW8" s="10"/>
      <c r="AX8" s="10"/>
      <c r="AY8" s="10"/>
      <c r="AZ8" s="23"/>
      <c r="BA8" s="23"/>
      <c r="BB8" s="10"/>
      <c r="BC8" s="10"/>
      <c r="BD8" s="10"/>
      <c r="BE8" s="10"/>
    </row>
    <row r="9" spans="1:57" ht="13.75" customHeight="1">
      <c r="A9" s="7" t="s">
        <v>34</v>
      </c>
      <c r="B9" s="8" t="s">
        <v>14</v>
      </c>
      <c r="C9" s="8" t="s">
        <v>35</v>
      </c>
      <c r="D9" s="8" t="s">
        <v>36</v>
      </c>
      <c r="E9" s="8" t="s">
        <v>37</v>
      </c>
      <c r="F9" s="9">
        <v>0.5</v>
      </c>
      <c r="G9" s="7" t="s">
        <v>38</v>
      </c>
      <c r="H9" s="7" t="s">
        <v>39</v>
      </c>
      <c r="I9" s="8">
        <f t="shared" si="0"/>
        <v>6</v>
      </c>
      <c r="J9" s="8" t="s">
        <v>40</v>
      </c>
      <c r="K9" s="26" t="s">
        <v>41</v>
      </c>
      <c r="L9" s="8" t="s">
        <v>22</v>
      </c>
      <c r="M9" s="10"/>
      <c r="N9" s="10"/>
      <c r="O9" s="10"/>
      <c r="P9" s="24"/>
      <c r="Q9" s="24"/>
      <c r="R9" s="24"/>
      <c r="S9" s="24"/>
      <c r="T9" s="24"/>
      <c r="U9" s="24"/>
      <c r="V9" s="10"/>
      <c r="W9" s="10"/>
      <c r="X9" s="23"/>
      <c r="Y9" s="23"/>
      <c r="Z9" s="10"/>
      <c r="AA9" s="10"/>
      <c r="AB9" s="10"/>
      <c r="AC9" s="10"/>
      <c r="AD9" s="10"/>
      <c r="AE9" s="23"/>
      <c r="AF9" s="23"/>
      <c r="AG9" s="10"/>
      <c r="AH9" s="10"/>
      <c r="AI9" s="10"/>
      <c r="AJ9" s="10"/>
      <c r="AK9" s="10"/>
      <c r="AL9" s="23"/>
      <c r="AM9" s="23"/>
      <c r="AN9" s="10"/>
      <c r="AO9" s="10"/>
      <c r="AP9" s="10"/>
      <c r="AQ9" s="10"/>
      <c r="AR9" s="10"/>
      <c r="AS9" s="23"/>
      <c r="AT9" s="23"/>
      <c r="AU9" s="10"/>
      <c r="AV9" s="10"/>
      <c r="AW9" s="10"/>
      <c r="AX9" s="10"/>
      <c r="AY9" s="10"/>
      <c r="AZ9" s="23"/>
      <c r="BA9" s="23"/>
      <c r="BB9" s="10"/>
      <c r="BC9" s="10"/>
      <c r="BD9" s="10"/>
      <c r="BE9" s="10"/>
    </row>
    <row r="10" spans="1:57" ht="13.75" customHeight="1">
      <c r="A10" s="7" t="s">
        <v>42</v>
      </c>
      <c r="B10" s="8" t="s">
        <v>14</v>
      </c>
      <c r="C10" s="8" t="s">
        <v>43</v>
      </c>
      <c r="D10" s="8" t="s">
        <v>16</v>
      </c>
      <c r="E10" s="8" t="s">
        <v>17</v>
      </c>
      <c r="F10" s="9">
        <v>0.45</v>
      </c>
      <c r="G10" s="7" t="s">
        <v>28</v>
      </c>
      <c r="H10" s="7" t="s">
        <v>33</v>
      </c>
      <c r="I10" s="8">
        <f t="shared" si="0"/>
        <v>3</v>
      </c>
      <c r="J10" s="8" t="s">
        <v>40</v>
      </c>
      <c r="K10" s="26" t="s">
        <v>41</v>
      </c>
      <c r="L10" s="8" t="s">
        <v>22</v>
      </c>
      <c r="M10" s="10"/>
      <c r="N10" s="10"/>
      <c r="O10" s="10"/>
      <c r="P10" s="10"/>
      <c r="Q10" s="24"/>
      <c r="R10" s="24"/>
      <c r="S10" s="24"/>
      <c r="T10" s="10"/>
      <c r="U10" s="10"/>
      <c r="V10" s="10"/>
      <c r="W10" s="10"/>
      <c r="X10" s="23"/>
      <c r="Y10" s="23"/>
      <c r="Z10" s="10"/>
      <c r="AA10" s="10"/>
      <c r="AB10" s="10"/>
      <c r="AC10" s="10"/>
      <c r="AD10" s="10"/>
      <c r="AE10" s="23"/>
      <c r="AF10" s="23"/>
      <c r="AG10" s="10"/>
      <c r="AH10" s="10"/>
      <c r="AI10" s="10"/>
      <c r="AJ10" s="10"/>
      <c r="AK10" s="10"/>
      <c r="AL10" s="23"/>
      <c r="AM10" s="23"/>
      <c r="AN10" s="10"/>
      <c r="AO10" s="10"/>
      <c r="AP10" s="10"/>
      <c r="AQ10" s="10"/>
      <c r="AR10" s="10"/>
      <c r="AS10" s="23"/>
      <c r="AT10" s="23"/>
      <c r="AU10" s="10"/>
      <c r="AV10" s="10"/>
      <c r="AW10" s="10"/>
      <c r="AX10" s="10"/>
      <c r="AY10" s="10"/>
      <c r="AZ10" s="23"/>
      <c r="BA10" s="23"/>
      <c r="BB10" s="10"/>
      <c r="BC10" s="10"/>
      <c r="BD10" s="10"/>
      <c r="BE10" s="10"/>
    </row>
    <row r="11" spans="1:57" ht="13.75" customHeight="1">
      <c r="A11" s="7" t="s">
        <v>44</v>
      </c>
      <c r="B11" s="8" t="s">
        <v>14</v>
      </c>
      <c r="C11" s="8" t="s">
        <v>45</v>
      </c>
      <c r="D11" s="8" t="s">
        <v>25</v>
      </c>
      <c r="E11" s="8" t="s">
        <v>26</v>
      </c>
      <c r="F11" s="9">
        <v>0.4</v>
      </c>
      <c r="G11" s="7" t="s">
        <v>46</v>
      </c>
      <c r="H11" s="7" t="s">
        <v>39</v>
      </c>
      <c r="I11" s="8">
        <f t="shared" si="0"/>
        <v>4</v>
      </c>
      <c r="J11" s="8" t="s">
        <v>40</v>
      </c>
      <c r="K11" s="25" t="s">
        <v>21</v>
      </c>
      <c r="L11" s="8" t="s">
        <v>22</v>
      </c>
      <c r="M11" s="10"/>
      <c r="N11" s="10"/>
      <c r="O11" s="10"/>
      <c r="P11" s="10"/>
      <c r="Q11" s="23"/>
      <c r="R11" s="24"/>
      <c r="S11" s="24"/>
      <c r="T11" s="24"/>
      <c r="U11" s="24"/>
      <c r="V11" s="10"/>
      <c r="W11" s="10"/>
      <c r="X11" s="23"/>
      <c r="Y11" s="23"/>
      <c r="Z11" s="10"/>
      <c r="AA11" s="10"/>
      <c r="AB11" s="10"/>
      <c r="AC11" s="10"/>
      <c r="AD11" s="10"/>
      <c r="AE11" s="23"/>
      <c r="AF11" s="23"/>
      <c r="AG11" s="10"/>
      <c r="AH11" s="10"/>
      <c r="AI11" s="10"/>
      <c r="AJ11" s="10"/>
      <c r="AK11" s="10"/>
      <c r="AL11" s="23"/>
      <c r="AM11" s="23"/>
      <c r="AN11" s="10"/>
      <c r="AO11" s="10"/>
      <c r="AP11" s="10"/>
      <c r="AQ11" s="10"/>
      <c r="AR11" s="10"/>
      <c r="AS11" s="23"/>
      <c r="AT11" s="23"/>
      <c r="AU11" s="10"/>
      <c r="AV11" s="10"/>
      <c r="AW11" s="10"/>
      <c r="AX11" s="10"/>
      <c r="AY11" s="10"/>
      <c r="AZ11" s="23"/>
      <c r="BA11" s="23"/>
      <c r="BB11" s="10"/>
      <c r="BC11" s="10"/>
      <c r="BD11" s="10"/>
      <c r="BE11" s="10"/>
    </row>
    <row r="12" spans="1:57" ht="13.75" customHeight="1">
      <c r="A12" s="7" t="s">
        <v>47</v>
      </c>
      <c r="B12" s="8" t="s">
        <v>14</v>
      </c>
      <c r="C12" s="8" t="s">
        <v>48</v>
      </c>
      <c r="D12" s="8" t="s">
        <v>31</v>
      </c>
      <c r="E12" s="8" t="s">
        <v>32</v>
      </c>
      <c r="F12" s="9">
        <v>0.35</v>
      </c>
      <c r="G12" s="7" t="s">
        <v>33</v>
      </c>
      <c r="H12" s="7" t="s">
        <v>49</v>
      </c>
      <c r="I12" s="8">
        <f t="shared" si="0"/>
        <v>5</v>
      </c>
      <c r="J12" s="8" t="s">
        <v>40</v>
      </c>
      <c r="K12" s="26" t="s">
        <v>41</v>
      </c>
      <c r="L12" s="8" t="s">
        <v>22</v>
      </c>
      <c r="M12" s="10"/>
      <c r="N12" s="10"/>
      <c r="O12" s="10"/>
      <c r="P12" s="10"/>
      <c r="Q12" s="23"/>
      <c r="R12" s="23"/>
      <c r="S12" s="24"/>
      <c r="T12" s="24"/>
      <c r="U12" s="24"/>
      <c r="V12" s="24"/>
      <c r="W12" s="24"/>
      <c r="X12" s="23"/>
      <c r="Y12" s="23"/>
      <c r="Z12" s="10"/>
      <c r="AA12" s="10"/>
      <c r="AB12" s="10"/>
      <c r="AC12" s="10"/>
      <c r="AD12" s="10"/>
      <c r="AE12" s="23"/>
      <c r="AF12" s="23"/>
      <c r="AG12" s="10"/>
      <c r="AH12" s="10"/>
      <c r="AI12" s="10"/>
      <c r="AJ12" s="10"/>
      <c r="AK12" s="10"/>
      <c r="AL12" s="23"/>
      <c r="AM12" s="23"/>
      <c r="AN12" s="10"/>
      <c r="AO12" s="10"/>
      <c r="AP12" s="10"/>
      <c r="AQ12" s="10"/>
      <c r="AR12" s="10"/>
      <c r="AS12" s="23"/>
      <c r="AT12" s="23"/>
      <c r="AU12" s="10"/>
      <c r="AV12" s="10"/>
      <c r="AW12" s="10"/>
      <c r="AX12" s="10"/>
      <c r="AY12" s="10"/>
      <c r="AZ12" s="23"/>
      <c r="BA12" s="23"/>
      <c r="BB12" s="10"/>
      <c r="BC12" s="10"/>
      <c r="BD12" s="10"/>
      <c r="BE12" s="10"/>
    </row>
    <row r="13" spans="1:57" ht="13.75" customHeight="1">
      <c r="A13" s="7" t="s">
        <v>50</v>
      </c>
      <c r="B13" s="8" t="s">
        <v>14</v>
      </c>
      <c r="C13" s="8" t="s">
        <v>51</v>
      </c>
      <c r="D13" s="8" t="s">
        <v>36</v>
      </c>
      <c r="E13" s="8" t="s">
        <v>37</v>
      </c>
      <c r="F13" s="9">
        <v>0.3</v>
      </c>
      <c r="G13" s="7" t="s">
        <v>52</v>
      </c>
      <c r="H13" s="7" t="s">
        <v>53</v>
      </c>
      <c r="I13" s="8">
        <f t="shared" si="0"/>
        <v>6</v>
      </c>
      <c r="J13" s="8" t="s">
        <v>40</v>
      </c>
      <c r="K13" s="26" t="s">
        <v>41</v>
      </c>
      <c r="L13" s="8" t="s">
        <v>22</v>
      </c>
      <c r="M13" s="10"/>
      <c r="N13" s="10"/>
      <c r="O13" s="10"/>
      <c r="P13" s="10"/>
      <c r="Q13" s="23"/>
      <c r="R13" s="23"/>
      <c r="S13" s="10"/>
      <c r="T13" s="24"/>
      <c r="U13" s="24"/>
      <c r="V13" s="24"/>
      <c r="W13" s="24"/>
      <c r="X13" s="24"/>
      <c r="Y13" s="24"/>
      <c r="Z13" s="10"/>
      <c r="AA13" s="10"/>
      <c r="AB13" s="10"/>
      <c r="AC13" s="10"/>
      <c r="AD13" s="10"/>
      <c r="AE13" s="23"/>
      <c r="AF13" s="23"/>
      <c r="AG13" s="10"/>
      <c r="AH13" s="10"/>
      <c r="AI13" s="10"/>
      <c r="AJ13" s="10"/>
      <c r="AK13" s="10"/>
      <c r="AL13" s="23"/>
      <c r="AM13" s="23"/>
      <c r="AN13" s="10"/>
      <c r="AO13" s="10"/>
      <c r="AP13" s="10"/>
      <c r="AQ13" s="10"/>
      <c r="AR13" s="10"/>
      <c r="AS13" s="23"/>
      <c r="AT13" s="23"/>
      <c r="AU13" s="10"/>
      <c r="AV13" s="10"/>
      <c r="AW13" s="10"/>
      <c r="AX13" s="10"/>
      <c r="AY13" s="10"/>
      <c r="AZ13" s="23"/>
      <c r="BA13" s="23"/>
      <c r="BB13" s="10"/>
      <c r="BC13" s="10"/>
      <c r="BD13" s="10"/>
      <c r="BE13" s="10"/>
    </row>
    <row r="14" spans="1:57" ht="13.75" customHeight="1">
      <c r="A14" s="7" t="s">
        <v>54</v>
      </c>
      <c r="B14" s="8" t="s">
        <v>14</v>
      </c>
      <c r="C14" s="8" t="s">
        <v>55</v>
      </c>
      <c r="D14" s="8" t="s">
        <v>16</v>
      </c>
      <c r="E14" s="8" t="s">
        <v>17</v>
      </c>
      <c r="F14" s="9">
        <v>0.25</v>
      </c>
      <c r="G14" s="7" t="s">
        <v>39</v>
      </c>
      <c r="H14" s="7" t="s">
        <v>49</v>
      </c>
      <c r="I14" s="8">
        <f t="shared" si="0"/>
        <v>3</v>
      </c>
      <c r="J14" s="8" t="s">
        <v>40</v>
      </c>
      <c r="K14" s="26" t="s">
        <v>56</v>
      </c>
      <c r="L14" s="8" t="s">
        <v>22</v>
      </c>
      <c r="M14" s="10"/>
      <c r="N14" s="10"/>
      <c r="O14" s="10"/>
      <c r="P14" s="10"/>
      <c r="Q14" s="23"/>
      <c r="R14" s="23"/>
      <c r="S14" s="10"/>
      <c r="T14" s="10"/>
      <c r="U14" s="24"/>
      <c r="V14" s="24"/>
      <c r="W14" s="24"/>
      <c r="X14" s="23"/>
      <c r="Y14" s="23"/>
      <c r="Z14" s="10"/>
      <c r="AA14" s="10"/>
      <c r="AB14" s="10"/>
      <c r="AC14" s="10"/>
      <c r="AD14" s="10"/>
      <c r="AE14" s="23"/>
      <c r="AF14" s="23"/>
      <c r="AG14" s="10"/>
      <c r="AH14" s="10"/>
      <c r="AI14" s="10"/>
      <c r="AJ14" s="10"/>
      <c r="AK14" s="10"/>
      <c r="AL14" s="23"/>
      <c r="AM14" s="23"/>
      <c r="AN14" s="10"/>
      <c r="AO14" s="10"/>
      <c r="AP14" s="10"/>
      <c r="AQ14" s="10"/>
      <c r="AR14" s="10"/>
      <c r="AS14" s="23"/>
      <c r="AT14" s="23"/>
      <c r="AU14" s="10"/>
      <c r="AV14" s="10"/>
      <c r="AW14" s="10"/>
      <c r="AX14" s="10"/>
      <c r="AY14" s="10"/>
      <c r="AZ14" s="23"/>
      <c r="BA14" s="23"/>
      <c r="BB14" s="10"/>
      <c r="BC14" s="10"/>
      <c r="BD14" s="10"/>
      <c r="BE14" s="10"/>
    </row>
    <row r="15" spans="1:57" ht="13.75" customHeight="1">
      <c r="A15" s="7" t="s">
        <v>57</v>
      </c>
      <c r="B15" s="8" t="s">
        <v>14</v>
      </c>
      <c r="C15" s="8" t="s">
        <v>58</v>
      </c>
      <c r="D15" s="8" t="s">
        <v>25</v>
      </c>
      <c r="E15" s="8" t="s">
        <v>26</v>
      </c>
      <c r="F15" s="9">
        <v>0.2</v>
      </c>
      <c r="G15" s="7" t="s">
        <v>59</v>
      </c>
      <c r="H15" s="7" t="s">
        <v>53</v>
      </c>
      <c r="I15" s="8">
        <f t="shared" si="0"/>
        <v>4</v>
      </c>
      <c r="J15" s="8" t="s">
        <v>40</v>
      </c>
      <c r="K15" s="25" t="s">
        <v>21</v>
      </c>
      <c r="L15" s="8" t="s">
        <v>22</v>
      </c>
      <c r="M15" s="10"/>
      <c r="N15" s="10"/>
      <c r="O15" s="10"/>
      <c r="P15" s="10"/>
      <c r="Q15" s="23"/>
      <c r="R15" s="23"/>
      <c r="S15" s="10"/>
      <c r="T15" s="10"/>
      <c r="U15" s="10"/>
      <c r="V15" s="24"/>
      <c r="W15" s="24"/>
      <c r="X15" s="24"/>
      <c r="Y15" s="24"/>
      <c r="Z15" s="10"/>
      <c r="AA15" s="10"/>
      <c r="AB15" s="10"/>
      <c r="AC15" s="10"/>
      <c r="AD15" s="10"/>
      <c r="AE15" s="23"/>
      <c r="AF15" s="23"/>
      <c r="AG15" s="10"/>
      <c r="AH15" s="10"/>
      <c r="AI15" s="10"/>
      <c r="AJ15" s="10"/>
      <c r="AK15" s="10"/>
      <c r="AL15" s="23"/>
      <c r="AM15" s="23"/>
      <c r="AN15" s="10"/>
      <c r="AO15" s="10"/>
      <c r="AP15" s="10"/>
      <c r="AQ15" s="10"/>
      <c r="AR15" s="10"/>
      <c r="AS15" s="23"/>
      <c r="AT15" s="23"/>
      <c r="AU15" s="10"/>
      <c r="AV15" s="10"/>
      <c r="AW15" s="10"/>
      <c r="AX15" s="10"/>
      <c r="AY15" s="10"/>
      <c r="AZ15" s="23"/>
      <c r="BA15" s="23"/>
      <c r="BB15" s="10"/>
      <c r="BC15" s="10"/>
      <c r="BD15" s="10"/>
      <c r="BE15" s="10"/>
    </row>
    <row r="16" spans="1:57" ht="13.75" customHeight="1">
      <c r="A16" s="11" t="s">
        <v>60</v>
      </c>
      <c r="B16" s="12" t="s">
        <v>61</v>
      </c>
      <c r="C16" s="12" t="s">
        <v>62</v>
      </c>
      <c r="D16" s="12" t="s">
        <v>31</v>
      </c>
      <c r="E16" s="12" t="s">
        <v>32</v>
      </c>
      <c r="F16" s="13">
        <v>0.7</v>
      </c>
      <c r="G16" s="11" t="s">
        <v>49</v>
      </c>
      <c r="H16" s="11" t="s">
        <v>53</v>
      </c>
      <c r="I16" s="12">
        <f t="shared" si="0"/>
        <v>3</v>
      </c>
      <c r="J16" s="12" t="s">
        <v>20</v>
      </c>
      <c r="K16" s="27" t="s">
        <v>21</v>
      </c>
      <c r="L16" s="12" t="s">
        <v>22</v>
      </c>
      <c r="M16" s="14"/>
      <c r="N16" s="14"/>
      <c r="O16" s="14"/>
      <c r="P16" s="14"/>
      <c r="Q16" s="23"/>
      <c r="R16" s="23"/>
      <c r="S16" s="14"/>
      <c r="T16" s="14"/>
      <c r="U16" s="14"/>
      <c r="V16" s="14"/>
      <c r="W16" s="24"/>
      <c r="X16" s="24"/>
      <c r="Y16" s="24"/>
      <c r="Z16" s="14"/>
      <c r="AA16" s="14"/>
      <c r="AB16" s="14"/>
      <c r="AC16" s="14"/>
      <c r="AD16" s="14"/>
      <c r="AE16" s="23"/>
      <c r="AF16" s="23"/>
      <c r="AG16" s="14"/>
      <c r="AH16" s="14"/>
      <c r="AI16" s="14"/>
      <c r="AJ16" s="14"/>
      <c r="AK16" s="14"/>
      <c r="AL16" s="23"/>
      <c r="AM16" s="23"/>
      <c r="AN16" s="14"/>
      <c r="AO16" s="14"/>
      <c r="AP16" s="14"/>
      <c r="AQ16" s="14"/>
      <c r="AR16" s="14"/>
      <c r="AS16" s="23"/>
      <c r="AT16" s="23"/>
      <c r="AU16" s="14"/>
      <c r="AV16" s="14"/>
      <c r="AW16" s="14"/>
      <c r="AX16" s="14"/>
      <c r="AY16" s="14"/>
      <c r="AZ16" s="23"/>
      <c r="BA16" s="23"/>
      <c r="BB16" s="14"/>
      <c r="BC16" s="14"/>
      <c r="BD16" s="14"/>
      <c r="BE16" s="14"/>
    </row>
    <row r="17" spans="1:57" ht="13.75" customHeight="1">
      <c r="A17" s="11" t="s">
        <v>63</v>
      </c>
      <c r="B17" s="12" t="s">
        <v>61</v>
      </c>
      <c r="C17" s="12" t="s">
        <v>64</v>
      </c>
      <c r="D17" s="12" t="s">
        <v>36</v>
      </c>
      <c r="E17" s="12" t="s">
        <v>37</v>
      </c>
      <c r="F17" s="13">
        <v>0.6</v>
      </c>
      <c r="G17" s="11" t="s">
        <v>65</v>
      </c>
      <c r="H17" s="11" t="s">
        <v>66</v>
      </c>
      <c r="I17" s="12">
        <f t="shared" si="0"/>
        <v>4</v>
      </c>
      <c r="J17" s="12" t="s">
        <v>20</v>
      </c>
      <c r="K17" s="27" t="s">
        <v>21</v>
      </c>
      <c r="L17" s="12" t="s">
        <v>22</v>
      </c>
      <c r="M17" s="14"/>
      <c r="N17" s="14"/>
      <c r="O17" s="14"/>
      <c r="P17" s="14"/>
      <c r="Q17" s="23"/>
      <c r="R17" s="23"/>
      <c r="S17" s="14"/>
      <c r="T17" s="14"/>
      <c r="U17" s="14"/>
      <c r="V17" s="14"/>
      <c r="W17" s="14"/>
      <c r="X17" s="24"/>
      <c r="Y17" s="24"/>
      <c r="Z17" s="24"/>
      <c r="AA17" s="24"/>
      <c r="AB17" s="14"/>
      <c r="AC17" s="14"/>
      <c r="AD17" s="14"/>
      <c r="AE17" s="23"/>
      <c r="AF17" s="23"/>
      <c r="AG17" s="14"/>
      <c r="AH17" s="14"/>
      <c r="AI17" s="14"/>
      <c r="AJ17" s="14"/>
      <c r="AK17" s="14"/>
      <c r="AL17" s="23"/>
      <c r="AM17" s="23"/>
      <c r="AN17" s="14"/>
      <c r="AO17" s="14"/>
      <c r="AP17" s="14"/>
      <c r="AQ17" s="14"/>
      <c r="AR17" s="14"/>
      <c r="AS17" s="23"/>
      <c r="AT17" s="23"/>
      <c r="AU17" s="14"/>
      <c r="AV17" s="14"/>
      <c r="AW17" s="14"/>
      <c r="AX17" s="14"/>
      <c r="AY17" s="14"/>
      <c r="AZ17" s="23"/>
      <c r="BA17" s="23"/>
      <c r="BB17" s="14"/>
      <c r="BC17" s="14"/>
      <c r="BD17" s="14"/>
      <c r="BE17" s="14"/>
    </row>
    <row r="18" spans="1:57" ht="13.75" customHeight="1">
      <c r="A18" s="11" t="s">
        <v>67</v>
      </c>
      <c r="B18" s="12" t="s">
        <v>61</v>
      </c>
      <c r="C18" s="12" t="s">
        <v>68</v>
      </c>
      <c r="D18" s="12" t="s">
        <v>16</v>
      </c>
      <c r="E18" s="12" t="s">
        <v>17</v>
      </c>
      <c r="F18" s="13">
        <v>0.55000000000000004</v>
      </c>
      <c r="G18" s="11" t="s">
        <v>53</v>
      </c>
      <c r="H18" s="11" t="s">
        <v>69</v>
      </c>
      <c r="I18" s="12">
        <f t="shared" si="0"/>
        <v>5</v>
      </c>
      <c r="J18" s="12" t="s">
        <v>20</v>
      </c>
      <c r="K18" s="27" t="s">
        <v>21</v>
      </c>
      <c r="L18" s="12" t="s">
        <v>22</v>
      </c>
      <c r="M18" s="14"/>
      <c r="N18" s="14"/>
      <c r="O18" s="14"/>
      <c r="P18" s="14"/>
      <c r="Q18" s="23"/>
      <c r="R18" s="23"/>
      <c r="S18" s="14"/>
      <c r="T18" s="14"/>
      <c r="U18" s="14"/>
      <c r="V18" s="14"/>
      <c r="W18" s="14"/>
      <c r="X18" s="23"/>
      <c r="Y18" s="24"/>
      <c r="Z18" s="24"/>
      <c r="AA18" s="24"/>
      <c r="AB18" s="24"/>
      <c r="AC18" s="24"/>
      <c r="AD18" s="14"/>
      <c r="AE18" s="23"/>
      <c r="AF18" s="23"/>
      <c r="AG18" s="14"/>
      <c r="AH18" s="14"/>
      <c r="AI18" s="14"/>
      <c r="AJ18" s="14"/>
      <c r="AK18" s="14"/>
      <c r="AL18" s="23"/>
      <c r="AM18" s="23"/>
      <c r="AN18" s="14"/>
      <c r="AO18" s="14"/>
      <c r="AP18" s="14"/>
      <c r="AQ18" s="14"/>
      <c r="AR18" s="14"/>
      <c r="AS18" s="23"/>
      <c r="AT18" s="23"/>
      <c r="AU18" s="14"/>
      <c r="AV18" s="14"/>
      <c r="AW18" s="14"/>
      <c r="AX18" s="14"/>
      <c r="AY18" s="14"/>
      <c r="AZ18" s="23"/>
      <c r="BA18" s="23"/>
      <c r="BB18" s="14"/>
      <c r="BC18" s="14"/>
      <c r="BD18" s="14"/>
      <c r="BE18" s="14"/>
    </row>
    <row r="19" spans="1:57" ht="13.75" customHeight="1">
      <c r="A19" s="11" t="s">
        <v>70</v>
      </c>
      <c r="B19" s="12" t="s">
        <v>61</v>
      </c>
      <c r="C19" s="12" t="s">
        <v>71</v>
      </c>
      <c r="D19" s="12" t="s">
        <v>25</v>
      </c>
      <c r="E19" s="12" t="s">
        <v>26</v>
      </c>
      <c r="F19" s="13">
        <v>0.5</v>
      </c>
      <c r="G19" s="11" t="s">
        <v>72</v>
      </c>
      <c r="H19" s="11" t="s">
        <v>73</v>
      </c>
      <c r="I19" s="12">
        <f t="shared" si="0"/>
        <v>6</v>
      </c>
      <c r="J19" s="12" t="s">
        <v>40</v>
      </c>
      <c r="K19" s="28" t="s">
        <v>41</v>
      </c>
      <c r="L19" s="12" t="s">
        <v>22</v>
      </c>
      <c r="M19" s="14"/>
      <c r="N19" s="14"/>
      <c r="O19" s="14"/>
      <c r="P19" s="14"/>
      <c r="Q19" s="23"/>
      <c r="R19" s="23"/>
      <c r="S19" s="14"/>
      <c r="T19" s="14"/>
      <c r="U19" s="14"/>
      <c r="V19" s="14"/>
      <c r="W19" s="14"/>
      <c r="X19" s="23"/>
      <c r="Y19" s="23"/>
      <c r="Z19" s="24"/>
      <c r="AA19" s="24"/>
      <c r="AB19" s="24"/>
      <c r="AC19" s="24"/>
      <c r="AD19" s="24"/>
      <c r="AE19" s="24"/>
      <c r="AF19" s="23"/>
      <c r="AG19" s="14"/>
      <c r="AH19" s="14"/>
      <c r="AI19" s="14"/>
      <c r="AJ19" s="14"/>
      <c r="AK19" s="14"/>
      <c r="AL19" s="23"/>
      <c r="AM19" s="23"/>
      <c r="AN19" s="14"/>
      <c r="AO19" s="14"/>
      <c r="AP19" s="14"/>
      <c r="AQ19" s="14"/>
      <c r="AR19" s="14"/>
      <c r="AS19" s="23"/>
      <c r="AT19" s="23"/>
      <c r="AU19" s="14"/>
      <c r="AV19" s="14"/>
      <c r="AW19" s="14"/>
      <c r="AX19" s="14"/>
      <c r="AY19" s="14"/>
      <c r="AZ19" s="23"/>
      <c r="BA19" s="23"/>
      <c r="BB19" s="14"/>
      <c r="BC19" s="14"/>
      <c r="BD19" s="14"/>
      <c r="BE19" s="14"/>
    </row>
    <row r="20" spans="1:57" ht="13.75" customHeight="1">
      <c r="A20" s="11" t="s">
        <v>74</v>
      </c>
      <c r="B20" s="12" t="s">
        <v>61</v>
      </c>
      <c r="C20" s="12" t="s">
        <v>75</v>
      </c>
      <c r="D20" s="12" t="s">
        <v>31</v>
      </c>
      <c r="E20" s="12" t="s">
        <v>32</v>
      </c>
      <c r="F20" s="13">
        <v>0.45</v>
      </c>
      <c r="G20" s="11" t="s">
        <v>66</v>
      </c>
      <c r="H20" s="11" t="s">
        <v>69</v>
      </c>
      <c r="I20" s="12">
        <f t="shared" si="0"/>
        <v>3</v>
      </c>
      <c r="J20" s="12" t="s">
        <v>40</v>
      </c>
      <c r="K20" s="28" t="s">
        <v>41</v>
      </c>
      <c r="L20" s="12" t="s">
        <v>22</v>
      </c>
      <c r="M20" s="14"/>
      <c r="N20" s="14"/>
      <c r="O20" s="14"/>
      <c r="P20" s="14"/>
      <c r="Q20" s="23"/>
      <c r="R20" s="23"/>
      <c r="S20" s="14"/>
      <c r="T20" s="14"/>
      <c r="U20" s="14"/>
      <c r="V20" s="14"/>
      <c r="W20" s="14"/>
      <c r="X20" s="23"/>
      <c r="Y20" s="23"/>
      <c r="Z20" s="14"/>
      <c r="AA20" s="24"/>
      <c r="AB20" s="24"/>
      <c r="AC20" s="24"/>
      <c r="AD20" s="14"/>
      <c r="AE20" s="23"/>
      <c r="AF20" s="23"/>
      <c r="AG20" s="14"/>
      <c r="AH20" s="14"/>
      <c r="AI20" s="14"/>
      <c r="AJ20" s="14"/>
      <c r="AK20" s="14"/>
      <c r="AL20" s="23"/>
      <c r="AM20" s="23"/>
      <c r="AN20" s="14"/>
      <c r="AO20" s="14"/>
      <c r="AP20" s="14"/>
      <c r="AQ20" s="14"/>
      <c r="AR20" s="14"/>
      <c r="AS20" s="23"/>
      <c r="AT20" s="23"/>
      <c r="AU20" s="14"/>
      <c r="AV20" s="14"/>
      <c r="AW20" s="14"/>
      <c r="AX20" s="14"/>
      <c r="AY20" s="14"/>
      <c r="AZ20" s="23"/>
      <c r="BA20" s="23"/>
      <c r="BB20" s="14"/>
      <c r="BC20" s="14"/>
      <c r="BD20" s="14"/>
      <c r="BE20" s="14"/>
    </row>
    <row r="21" spans="1:57" ht="13.75" customHeight="1">
      <c r="A21" s="11" t="s">
        <v>76</v>
      </c>
      <c r="B21" s="12" t="s">
        <v>61</v>
      </c>
      <c r="C21" s="12" t="s">
        <v>77</v>
      </c>
      <c r="D21" s="12" t="s">
        <v>36</v>
      </c>
      <c r="E21" s="12" t="s">
        <v>37</v>
      </c>
      <c r="F21" s="13">
        <v>0.4</v>
      </c>
      <c r="G21" s="11" t="s">
        <v>78</v>
      </c>
      <c r="H21" s="11" t="s">
        <v>73</v>
      </c>
      <c r="I21" s="12">
        <f t="shared" si="0"/>
        <v>4</v>
      </c>
      <c r="J21" s="12" t="s">
        <v>40</v>
      </c>
      <c r="K21" s="27" t="s">
        <v>21</v>
      </c>
      <c r="L21" s="12" t="s">
        <v>22</v>
      </c>
      <c r="M21" s="14"/>
      <c r="N21" s="14"/>
      <c r="O21" s="14"/>
      <c r="P21" s="14"/>
      <c r="Q21" s="23"/>
      <c r="R21" s="23"/>
      <c r="S21" s="14"/>
      <c r="T21" s="14"/>
      <c r="U21" s="14"/>
      <c r="V21" s="14"/>
      <c r="W21" s="14"/>
      <c r="X21" s="23"/>
      <c r="Y21" s="23"/>
      <c r="Z21" s="14"/>
      <c r="AA21" s="14"/>
      <c r="AB21" s="24"/>
      <c r="AC21" s="24"/>
      <c r="AD21" s="24"/>
      <c r="AE21" s="24"/>
      <c r="AF21" s="23"/>
      <c r="AG21" s="14"/>
      <c r="AH21" s="14"/>
      <c r="AI21" s="14"/>
      <c r="AJ21" s="14"/>
      <c r="AK21" s="14"/>
      <c r="AL21" s="23"/>
      <c r="AM21" s="23"/>
      <c r="AN21" s="14"/>
      <c r="AO21" s="14"/>
      <c r="AP21" s="14"/>
      <c r="AQ21" s="14"/>
      <c r="AR21" s="14"/>
      <c r="AS21" s="23"/>
      <c r="AT21" s="23"/>
      <c r="AU21" s="14"/>
      <c r="AV21" s="14"/>
      <c r="AW21" s="14"/>
      <c r="AX21" s="14"/>
      <c r="AY21" s="14"/>
      <c r="AZ21" s="23"/>
      <c r="BA21" s="23"/>
      <c r="BB21" s="14"/>
      <c r="BC21" s="14"/>
      <c r="BD21" s="14"/>
      <c r="BE21" s="14"/>
    </row>
    <row r="22" spans="1:57" ht="13.75" customHeight="1">
      <c r="A22" s="11" t="s">
        <v>79</v>
      </c>
      <c r="B22" s="12" t="s">
        <v>61</v>
      </c>
      <c r="C22" s="12" t="s">
        <v>80</v>
      </c>
      <c r="D22" s="12" t="s">
        <v>16</v>
      </c>
      <c r="E22" s="12" t="s">
        <v>17</v>
      </c>
      <c r="F22" s="13">
        <v>0.35</v>
      </c>
      <c r="G22" s="11" t="s">
        <v>69</v>
      </c>
      <c r="H22" s="11" t="s">
        <v>81</v>
      </c>
      <c r="I22" s="12">
        <f t="shared" si="0"/>
        <v>5</v>
      </c>
      <c r="J22" s="12" t="s">
        <v>40</v>
      </c>
      <c r="K22" s="28" t="s">
        <v>41</v>
      </c>
      <c r="L22" s="12" t="s">
        <v>22</v>
      </c>
      <c r="M22" s="14"/>
      <c r="N22" s="14"/>
      <c r="O22" s="14"/>
      <c r="P22" s="14"/>
      <c r="Q22" s="23"/>
      <c r="R22" s="23"/>
      <c r="S22" s="14"/>
      <c r="T22" s="14"/>
      <c r="U22" s="14"/>
      <c r="V22" s="14"/>
      <c r="W22" s="14"/>
      <c r="X22" s="23"/>
      <c r="Y22" s="23"/>
      <c r="Z22" s="14"/>
      <c r="AA22" s="14"/>
      <c r="AB22" s="14"/>
      <c r="AC22" s="24"/>
      <c r="AD22" s="24"/>
      <c r="AE22" s="24"/>
      <c r="AF22" s="24"/>
      <c r="AG22" s="24"/>
      <c r="AH22" s="14"/>
      <c r="AI22" s="14"/>
      <c r="AJ22" s="14"/>
      <c r="AK22" s="14"/>
      <c r="AL22" s="23"/>
      <c r="AM22" s="23"/>
      <c r="AN22" s="14"/>
      <c r="AO22" s="14"/>
      <c r="AP22" s="14"/>
      <c r="AQ22" s="14"/>
      <c r="AR22" s="14"/>
      <c r="AS22" s="23"/>
      <c r="AT22" s="23"/>
      <c r="AU22" s="14"/>
      <c r="AV22" s="14"/>
      <c r="AW22" s="14"/>
      <c r="AX22" s="14"/>
      <c r="AY22" s="14"/>
      <c r="AZ22" s="23"/>
      <c r="BA22" s="23"/>
      <c r="BB22" s="14"/>
      <c r="BC22" s="14"/>
      <c r="BD22" s="14"/>
      <c r="BE22" s="14"/>
    </row>
    <row r="23" spans="1:57" ht="13.75" customHeight="1">
      <c r="A23" s="11" t="s">
        <v>82</v>
      </c>
      <c r="B23" s="12" t="s">
        <v>61</v>
      </c>
      <c r="C23" s="12" t="s">
        <v>83</v>
      </c>
      <c r="D23" s="12" t="s">
        <v>25</v>
      </c>
      <c r="E23" s="12" t="s">
        <v>26</v>
      </c>
      <c r="F23" s="13">
        <v>0.3</v>
      </c>
      <c r="G23" s="11" t="s">
        <v>84</v>
      </c>
      <c r="H23" s="11" t="s">
        <v>85</v>
      </c>
      <c r="I23" s="12">
        <f t="shared" si="0"/>
        <v>6</v>
      </c>
      <c r="J23" s="12" t="s">
        <v>40</v>
      </c>
      <c r="K23" s="28" t="s">
        <v>41</v>
      </c>
      <c r="L23" s="12" t="s">
        <v>22</v>
      </c>
      <c r="M23" s="14"/>
      <c r="N23" s="14"/>
      <c r="O23" s="14"/>
      <c r="P23" s="14"/>
      <c r="Q23" s="23"/>
      <c r="R23" s="23"/>
      <c r="S23" s="14"/>
      <c r="T23" s="14"/>
      <c r="U23" s="14"/>
      <c r="V23" s="14"/>
      <c r="W23" s="14"/>
      <c r="X23" s="23"/>
      <c r="Y23" s="23"/>
      <c r="Z23" s="14"/>
      <c r="AA23" s="14"/>
      <c r="AB23" s="14"/>
      <c r="AC23" s="14"/>
      <c r="AD23" s="24"/>
      <c r="AE23" s="24"/>
      <c r="AF23" s="24"/>
      <c r="AG23" s="24"/>
      <c r="AH23" s="24"/>
      <c r="AI23" s="24"/>
      <c r="AJ23" s="14"/>
      <c r="AK23" s="14"/>
      <c r="AL23" s="23"/>
      <c r="AM23" s="23"/>
      <c r="AN23" s="14"/>
      <c r="AO23" s="14"/>
      <c r="AP23" s="14"/>
      <c r="AQ23" s="14"/>
      <c r="AR23" s="14"/>
      <c r="AS23" s="23"/>
      <c r="AT23" s="23"/>
      <c r="AU23" s="14"/>
      <c r="AV23" s="14"/>
      <c r="AW23" s="14"/>
      <c r="AX23" s="14"/>
      <c r="AY23" s="14"/>
      <c r="AZ23" s="23"/>
      <c r="BA23" s="23"/>
      <c r="BB23" s="14"/>
      <c r="BC23" s="14"/>
      <c r="BD23" s="14"/>
      <c r="BE23" s="14"/>
    </row>
    <row r="24" spans="1:57" ht="13.75" customHeight="1">
      <c r="A24" s="11" t="s">
        <v>86</v>
      </c>
      <c r="B24" s="12" t="s">
        <v>61</v>
      </c>
      <c r="C24" s="12" t="s">
        <v>87</v>
      </c>
      <c r="D24" s="12" t="s">
        <v>31</v>
      </c>
      <c r="E24" s="12" t="s">
        <v>32</v>
      </c>
      <c r="F24" s="13">
        <v>0.25</v>
      </c>
      <c r="G24" s="11" t="s">
        <v>73</v>
      </c>
      <c r="H24" s="11" t="s">
        <v>81</v>
      </c>
      <c r="I24" s="12">
        <f t="shared" si="0"/>
        <v>3</v>
      </c>
      <c r="J24" s="12" t="s">
        <v>40</v>
      </c>
      <c r="K24" s="28" t="s">
        <v>56</v>
      </c>
      <c r="L24" s="12" t="s">
        <v>22</v>
      </c>
      <c r="M24" s="14"/>
      <c r="N24" s="14"/>
      <c r="O24" s="14"/>
      <c r="P24" s="14"/>
      <c r="Q24" s="23"/>
      <c r="R24" s="23"/>
      <c r="S24" s="14"/>
      <c r="T24" s="14"/>
      <c r="U24" s="14"/>
      <c r="V24" s="14"/>
      <c r="W24" s="14"/>
      <c r="X24" s="23"/>
      <c r="Y24" s="23"/>
      <c r="Z24" s="14"/>
      <c r="AA24" s="14"/>
      <c r="AB24" s="14"/>
      <c r="AC24" s="14"/>
      <c r="AD24" s="14"/>
      <c r="AE24" s="24"/>
      <c r="AF24" s="24"/>
      <c r="AG24" s="24"/>
      <c r="AH24" s="14"/>
      <c r="AI24" s="14"/>
      <c r="AJ24" s="14"/>
      <c r="AK24" s="14"/>
      <c r="AL24" s="23"/>
      <c r="AM24" s="23"/>
      <c r="AN24" s="14"/>
      <c r="AO24" s="14"/>
      <c r="AP24" s="14"/>
      <c r="AQ24" s="14"/>
      <c r="AR24" s="14"/>
      <c r="AS24" s="23"/>
      <c r="AT24" s="23"/>
      <c r="AU24" s="14"/>
      <c r="AV24" s="14"/>
      <c r="AW24" s="14"/>
      <c r="AX24" s="14"/>
      <c r="AY24" s="14"/>
      <c r="AZ24" s="23"/>
      <c r="BA24" s="23"/>
      <c r="BB24" s="14"/>
      <c r="BC24" s="14"/>
      <c r="BD24" s="14"/>
      <c r="BE24" s="14"/>
    </row>
    <row r="25" spans="1:57" ht="13.75" customHeight="1">
      <c r="A25" s="11" t="s">
        <v>88</v>
      </c>
      <c r="B25" s="12" t="s">
        <v>61</v>
      </c>
      <c r="C25" s="12" t="s">
        <v>89</v>
      </c>
      <c r="D25" s="12" t="s">
        <v>36</v>
      </c>
      <c r="E25" s="12" t="s">
        <v>37</v>
      </c>
      <c r="F25" s="13">
        <v>0.2</v>
      </c>
      <c r="G25" s="11" t="s">
        <v>90</v>
      </c>
      <c r="H25" s="11" t="s">
        <v>85</v>
      </c>
      <c r="I25" s="12">
        <f t="shared" si="0"/>
        <v>4</v>
      </c>
      <c r="J25" s="12" t="s">
        <v>40</v>
      </c>
      <c r="K25" s="27" t="s">
        <v>21</v>
      </c>
      <c r="L25" s="12" t="s">
        <v>22</v>
      </c>
      <c r="M25" s="14"/>
      <c r="N25" s="14"/>
      <c r="O25" s="14"/>
      <c r="P25" s="14"/>
      <c r="Q25" s="23"/>
      <c r="R25" s="23"/>
      <c r="S25" s="14"/>
      <c r="T25" s="14"/>
      <c r="U25" s="14"/>
      <c r="V25" s="14"/>
      <c r="W25" s="14"/>
      <c r="X25" s="23"/>
      <c r="Y25" s="23"/>
      <c r="Z25" s="14"/>
      <c r="AA25" s="14"/>
      <c r="AB25" s="14"/>
      <c r="AC25" s="14"/>
      <c r="AD25" s="14"/>
      <c r="AE25" s="23"/>
      <c r="AF25" s="24"/>
      <c r="AG25" s="24"/>
      <c r="AH25" s="24"/>
      <c r="AI25" s="24"/>
      <c r="AJ25" s="14"/>
      <c r="AK25" s="14"/>
      <c r="AL25" s="23"/>
      <c r="AM25" s="23"/>
      <c r="AN25" s="14"/>
      <c r="AO25" s="14"/>
      <c r="AP25" s="14"/>
      <c r="AQ25" s="14"/>
      <c r="AR25" s="14"/>
      <c r="AS25" s="23"/>
      <c r="AT25" s="23"/>
      <c r="AU25" s="14"/>
      <c r="AV25" s="14"/>
      <c r="AW25" s="14"/>
      <c r="AX25" s="14"/>
      <c r="AY25" s="14"/>
      <c r="AZ25" s="23"/>
      <c r="BA25" s="23"/>
      <c r="BB25" s="14"/>
      <c r="BC25" s="14"/>
      <c r="BD25" s="14"/>
      <c r="BE25" s="14"/>
    </row>
    <row r="26" spans="1:57" ht="13.75" customHeight="1">
      <c r="A26" s="15" t="s">
        <v>91</v>
      </c>
      <c r="B26" s="16" t="s">
        <v>92</v>
      </c>
      <c r="C26" s="16" t="s">
        <v>93</v>
      </c>
      <c r="D26" s="16" t="s">
        <v>16</v>
      </c>
      <c r="E26" s="16" t="s">
        <v>17</v>
      </c>
      <c r="F26" s="17">
        <v>0.7</v>
      </c>
      <c r="G26" s="15" t="s">
        <v>81</v>
      </c>
      <c r="H26" s="15" t="s">
        <v>85</v>
      </c>
      <c r="I26" s="16">
        <f t="shared" si="0"/>
        <v>3</v>
      </c>
      <c r="J26" s="16" t="s">
        <v>20</v>
      </c>
      <c r="K26" s="29" t="s">
        <v>21</v>
      </c>
      <c r="L26" s="16" t="s">
        <v>22</v>
      </c>
      <c r="M26" s="18"/>
      <c r="N26" s="18"/>
      <c r="O26" s="18"/>
      <c r="P26" s="18"/>
      <c r="Q26" s="23"/>
      <c r="R26" s="23"/>
      <c r="S26" s="18"/>
      <c r="T26" s="18"/>
      <c r="U26" s="18"/>
      <c r="V26" s="18"/>
      <c r="W26" s="18"/>
      <c r="X26" s="23"/>
      <c r="Y26" s="23"/>
      <c r="Z26" s="18"/>
      <c r="AA26" s="18"/>
      <c r="AB26" s="18"/>
      <c r="AC26" s="18"/>
      <c r="AD26" s="18"/>
      <c r="AE26" s="23"/>
      <c r="AF26" s="23"/>
      <c r="AG26" s="24"/>
      <c r="AH26" s="24"/>
      <c r="AI26" s="24"/>
      <c r="AJ26" s="18"/>
      <c r="AK26" s="18"/>
      <c r="AL26" s="23"/>
      <c r="AM26" s="23"/>
      <c r="AN26" s="18"/>
      <c r="AO26" s="18"/>
      <c r="AP26" s="18"/>
      <c r="AQ26" s="18"/>
      <c r="AR26" s="18"/>
      <c r="AS26" s="23"/>
      <c r="AT26" s="23"/>
      <c r="AU26" s="18"/>
      <c r="AV26" s="18"/>
      <c r="AW26" s="18"/>
      <c r="AX26" s="18"/>
      <c r="AY26" s="18"/>
      <c r="AZ26" s="23"/>
      <c r="BA26" s="23"/>
      <c r="BB26" s="18"/>
      <c r="BC26" s="18"/>
      <c r="BD26" s="18"/>
      <c r="BE26" s="18"/>
    </row>
    <row r="27" spans="1:57" ht="13.75" customHeight="1">
      <c r="A27" s="15" t="s">
        <v>94</v>
      </c>
      <c r="B27" s="16" t="s">
        <v>92</v>
      </c>
      <c r="C27" s="16" t="s">
        <v>95</v>
      </c>
      <c r="D27" s="16" t="s">
        <v>25</v>
      </c>
      <c r="E27" s="16" t="s">
        <v>26</v>
      </c>
      <c r="F27" s="17">
        <v>0.6</v>
      </c>
      <c r="G27" s="15" t="s">
        <v>96</v>
      </c>
      <c r="H27" s="15" t="s">
        <v>97</v>
      </c>
      <c r="I27" s="16">
        <f t="shared" si="0"/>
        <v>4</v>
      </c>
      <c r="J27" s="16" t="s">
        <v>20</v>
      </c>
      <c r="K27" s="29" t="s">
        <v>21</v>
      </c>
      <c r="L27" s="16" t="s">
        <v>22</v>
      </c>
      <c r="M27" s="18"/>
      <c r="N27" s="18"/>
      <c r="O27" s="18"/>
      <c r="P27" s="18"/>
      <c r="Q27" s="23"/>
      <c r="R27" s="23"/>
      <c r="S27" s="18"/>
      <c r="T27" s="18"/>
      <c r="U27" s="18"/>
      <c r="V27" s="18"/>
      <c r="W27" s="18"/>
      <c r="X27" s="23"/>
      <c r="Y27" s="23"/>
      <c r="Z27" s="18"/>
      <c r="AA27" s="18"/>
      <c r="AB27" s="18"/>
      <c r="AC27" s="18"/>
      <c r="AD27" s="18"/>
      <c r="AE27" s="23"/>
      <c r="AF27" s="23"/>
      <c r="AG27" s="18"/>
      <c r="AH27" s="24"/>
      <c r="AI27" s="24"/>
      <c r="AJ27" s="24"/>
      <c r="AK27" s="24"/>
      <c r="AL27" s="23"/>
      <c r="AM27" s="23"/>
      <c r="AN27" s="18"/>
      <c r="AO27" s="18"/>
      <c r="AP27" s="18"/>
      <c r="AQ27" s="18"/>
      <c r="AR27" s="18"/>
      <c r="AS27" s="23"/>
      <c r="AT27" s="23"/>
      <c r="AU27" s="18"/>
      <c r="AV27" s="18"/>
      <c r="AW27" s="18"/>
      <c r="AX27" s="18"/>
      <c r="AY27" s="18"/>
      <c r="AZ27" s="23"/>
      <c r="BA27" s="23"/>
      <c r="BB27" s="18"/>
      <c r="BC27" s="18"/>
      <c r="BD27" s="18"/>
      <c r="BE27" s="18"/>
    </row>
    <row r="28" spans="1:57" ht="13.75" customHeight="1">
      <c r="A28" s="15" t="s">
        <v>98</v>
      </c>
      <c r="B28" s="16" t="s">
        <v>92</v>
      </c>
      <c r="C28" s="16" t="s">
        <v>99</v>
      </c>
      <c r="D28" s="16" t="s">
        <v>31</v>
      </c>
      <c r="E28" s="16" t="s">
        <v>32</v>
      </c>
      <c r="F28" s="17">
        <v>0.55000000000000004</v>
      </c>
      <c r="G28" s="15" t="s">
        <v>85</v>
      </c>
      <c r="H28" s="15" t="s">
        <v>100</v>
      </c>
      <c r="I28" s="16">
        <f t="shared" si="0"/>
        <v>5</v>
      </c>
      <c r="J28" s="16" t="s">
        <v>20</v>
      </c>
      <c r="K28" s="29" t="s">
        <v>21</v>
      </c>
      <c r="L28" s="16" t="s">
        <v>22</v>
      </c>
      <c r="M28" s="18"/>
      <c r="N28" s="18"/>
      <c r="O28" s="18"/>
      <c r="P28" s="18"/>
      <c r="Q28" s="23"/>
      <c r="R28" s="23"/>
      <c r="S28" s="18"/>
      <c r="T28" s="18"/>
      <c r="U28" s="18"/>
      <c r="V28" s="18"/>
      <c r="W28" s="18"/>
      <c r="X28" s="23"/>
      <c r="Y28" s="23"/>
      <c r="Z28" s="18"/>
      <c r="AA28" s="18"/>
      <c r="AB28" s="18"/>
      <c r="AC28" s="18"/>
      <c r="AD28" s="18"/>
      <c r="AE28" s="23"/>
      <c r="AF28" s="23"/>
      <c r="AG28" s="18"/>
      <c r="AH28" s="18"/>
      <c r="AI28" s="24"/>
      <c r="AJ28" s="24"/>
      <c r="AK28" s="24"/>
      <c r="AL28" s="24"/>
      <c r="AM28" s="24"/>
      <c r="AN28" s="18"/>
      <c r="AO28" s="18"/>
      <c r="AP28" s="18"/>
      <c r="AQ28" s="18"/>
      <c r="AR28" s="18"/>
      <c r="AS28" s="23"/>
      <c r="AT28" s="23"/>
      <c r="AU28" s="18"/>
      <c r="AV28" s="18"/>
      <c r="AW28" s="18"/>
      <c r="AX28" s="18"/>
      <c r="AY28" s="18"/>
      <c r="AZ28" s="23"/>
      <c r="BA28" s="23"/>
      <c r="BB28" s="18"/>
      <c r="BC28" s="18"/>
      <c r="BD28" s="18"/>
      <c r="BE28" s="18"/>
    </row>
    <row r="29" spans="1:57" ht="13.75" customHeight="1">
      <c r="A29" s="15" t="s">
        <v>101</v>
      </c>
      <c r="B29" s="16" t="s">
        <v>92</v>
      </c>
      <c r="C29" s="16" t="s">
        <v>102</v>
      </c>
      <c r="D29" s="16" t="s">
        <v>36</v>
      </c>
      <c r="E29" s="16" t="s">
        <v>37</v>
      </c>
      <c r="F29" s="17">
        <v>0.5</v>
      </c>
      <c r="G29" s="15" t="s">
        <v>103</v>
      </c>
      <c r="H29" s="15" t="s">
        <v>104</v>
      </c>
      <c r="I29" s="16">
        <f t="shared" si="0"/>
        <v>6</v>
      </c>
      <c r="J29" s="16" t="s">
        <v>40</v>
      </c>
      <c r="K29" s="30" t="s">
        <v>41</v>
      </c>
      <c r="L29" s="16" t="s">
        <v>22</v>
      </c>
      <c r="M29" s="18"/>
      <c r="N29" s="18"/>
      <c r="O29" s="18"/>
      <c r="P29" s="18"/>
      <c r="Q29" s="23"/>
      <c r="R29" s="23"/>
      <c r="S29" s="18"/>
      <c r="T29" s="18"/>
      <c r="U29" s="18"/>
      <c r="V29" s="18"/>
      <c r="W29" s="18"/>
      <c r="X29" s="23"/>
      <c r="Y29" s="23"/>
      <c r="Z29" s="18"/>
      <c r="AA29" s="18"/>
      <c r="AB29" s="18"/>
      <c r="AC29" s="18"/>
      <c r="AD29" s="18"/>
      <c r="AE29" s="23"/>
      <c r="AF29" s="23"/>
      <c r="AG29" s="18"/>
      <c r="AH29" s="18"/>
      <c r="AI29" s="18"/>
      <c r="AJ29" s="24"/>
      <c r="AK29" s="24"/>
      <c r="AL29" s="24"/>
      <c r="AM29" s="24"/>
      <c r="AN29" s="24"/>
      <c r="AO29" s="24"/>
      <c r="AP29" s="18"/>
      <c r="AQ29" s="18"/>
      <c r="AR29" s="18"/>
      <c r="AS29" s="23"/>
      <c r="AT29" s="23"/>
      <c r="AU29" s="18"/>
      <c r="AV29" s="18"/>
      <c r="AW29" s="18"/>
      <c r="AX29" s="18"/>
      <c r="AY29" s="18"/>
      <c r="AZ29" s="23"/>
      <c r="BA29" s="23"/>
      <c r="BB29" s="18"/>
      <c r="BC29" s="18"/>
      <c r="BD29" s="18"/>
      <c r="BE29" s="18"/>
    </row>
    <row r="30" spans="1:57" ht="13.75" customHeight="1">
      <c r="A30" s="15" t="s">
        <v>105</v>
      </c>
      <c r="B30" s="16" t="s">
        <v>92</v>
      </c>
      <c r="C30" s="16" t="s">
        <v>106</v>
      </c>
      <c r="D30" s="16" t="s">
        <v>16</v>
      </c>
      <c r="E30" s="16" t="s">
        <v>17</v>
      </c>
      <c r="F30" s="17">
        <v>0.45</v>
      </c>
      <c r="G30" s="15" t="s">
        <v>97</v>
      </c>
      <c r="H30" s="15" t="s">
        <v>100</v>
      </c>
      <c r="I30" s="16">
        <f t="shared" si="0"/>
        <v>3</v>
      </c>
      <c r="J30" s="16" t="s">
        <v>40</v>
      </c>
      <c r="K30" s="30" t="s">
        <v>41</v>
      </c>
      <c r="L30" s="16" t="s">
        <v>22</v>
      </c>
      <c r="M30" s="18"/>
      <c r="N30" s="18"/>
      <c r="O30" s="18"/>
      <c r="P30" s="18"/>
      <c r="Q30" s="23"/>
      <c r="R30" s="23"/>
      <c r="S30" s="18"/>
      <c r="T30" s="18"/>
      <c r="U30" s="18"/>
      <c r="V30" s="18"/>
      <c r="W30" s="18"/>
      <c r="X30" s="23"/>
      <c r="Y30" s="23"/>
      <c r="Z30" s="18"/>
      <c r="AA30" s="18"/>
      <c r="AB30" s="18"/>
      <c r="AC30" s="18"/>
      <c r="AD30" s="18"/>
      <c r="AE30" s="23"/>
      <c r="AF30" s="23"/>
      <c r="AG30" s="18"/>
      <c r="AH30" s="18"/>
      <c r="AI30" s="18"/>
      <c r="AJ30" s="18"/>
      <c r="AK30" s="24"/>
      <c r="AL30" s="24"/>
      <c r="AM30" s="24"/>
      <c r="AN30" s="18"/>
      <c r="AO30" s="18"/>
      <c r="AP30" s="18"/>
      <c r="AQ30" s="18"/>
      <c r="AR30" s="18"/>
      <c r="AS30" s="23"/>
      <c r="AT30" s="23"/>
      <c r="AU30" s="18"/>
      <c r="AV30" s="18"/>
      <c r="AW30" s="18"/>
      <c r="AX30" s="18"/>
      <c r="AY30" s="18"/>
      <c r="AZ30" s="23"/>
      <c r="BA30" s="23"/>
      <c r="BB30" s="18"/>
      <c r="BC30" s="18"/>
      <c r="BD30" s="18"/>
      <c r="BE30" s="18"/>
    </row>
    <row r="31" spans="1:57" ht="13.75" customHeight="1">
      <c r="A31" s="15" t="s">
        <v>107</v>
      </c>
      <c r="B31" s="16" t="s">
        <v>92</v>
      </c>
      <c r="C31" s="16" t="s">
        <v>108</v>
      </c>
      <c r="D31" s="16" t="s">
        <v>25</v>
      </c>
      <c r="E31" s="16" t="s">
        <v>26</v>
      </c>
      <c r="F31" s="17">
        <v>0.4</v>
      </c>
      <c r="G31" s="15" t="s">
        <v>109</v>
      </c>
      <c r="H31" s="15" t="s">
        <v>104</v>
      </c>
      <c r="I31" s="16">
        <f t="shared" si="0"/>
        <v>4</v>
      </c>
      <c r="J31" s="16" t="s">
        <v>40</v>
      </c>
      <c r="K31" s="29" t="s">
        <v>21</v>
      </c>
      <c r="L31" s="16" t="s">
        <v>22</v>
      </c>
      <c r="M31" s="18"/>
      <c r="N31" s="18"/>
      <c r="O31" s="18"/>
      <c r="P31" s="18"/>
      <c r="Q31" s="23"/>
      <c r="R31" s="23"/>
      <c r="S31" s="18"/>
      <c r="T31" s="18"/>
      <c r="U31" s="18"/>
      <c r="V31" s="18"/>
      <c r="W31" s="18"/>
      <c r="X31" s="23"/>
      <c r="Y31" s="23"/>
      <c r="Z31" s="18"/>
      <c r="AA31" s="18"/>
      <c r="AB31" s="18"/>
      <c r="AC31" s="18"/>
      <c r="AD31" s="18"/>
      <c r="AE31" s="23"/>
      <c r="AF31" s="23"/>
      <c r="AG31" s="18"/>
      <c r="AH31" s="18"/>
      <c r="AI31" s="18"/>
      <c r="AJ31" s="18"/>
      <c r="AK31" s="18"/>
      <c r="AL31" s="24"/>
      <c r="AM31" s="24"/>
      <c r="AN31" s="24"/>
      <c r="AO31" s="24"/>
      <c r="AP31" s="18"/>
      <c r="AQ31" s="18"/>
      <c r="AR31" s="18"/>
      <c r="AS31" s="23"/>
      <c r="AT31" s="23"/>
      <c r="AU31" s="18"/>
      <c r="AV31" s="18"/>
      <c r="AW31" s="18"/>
      <c r="AX31" s="18"/>
      <c r="AY31" s="18"/>
      <c r="AZ31" s="23"/>
      <c r="BA31" s="23"/>
      <c r="BB31" s="18"/>
      <c r="BC31" s="18"/>
      <c r="BD31" s="18"/>
      <c r="BE31" s="18"/>
    </row>
    <row r="32" spans="1:57" ht="13.75" customHeight="1">
      <c r="A32" s="15" t="s">
        <v>110</v>
      </c>
      <c r="B32" s="16" t="s">
        <v>92</v>
      </c>
      <c r="C32" s="16" t="s">
        <v>111</v>
      </c>
      <c r="D32" s="16" t="s">
        <v>31</v>
      </c>
      <c r="E32" s="16" t="s">
        <v>32</v>
      </c>
      <c r="F32" s="17">
        <v>0.35</v>
      </c>
      <c r="G32" s="15" t="s">
        <v>100</v>
      </c>
      <c r="H32" s="15" t="s">
        <v>112</v>
      </c>
      <c r="I32" s="16">
        <f t="shared" si="0"/>
        <v>5</v>
      </c>
      <c r="J32" s="16" t="s">
        <v>40</v>
      </c>
      <c r="K32" s="30" t="s">
        <v>41</v>
      </c>
      <c r="L32" s="16" t="s">
        <v>22</v>
      </c>
      <c r="M32" s="18"/>
      <c r="N32" s="18"/>
      <c r="O32" s="18"/>
      <c r="P32" s="18"/>
      <c r="Q32" s="23"/>
      <c r="R32" s="23"/>
      <c r="S32" s="18"/>
      <c r="T32" s="18"/>
      <c r="U32" s="18"/>
      <c r="V32" s="18"/>
      <c r="W32" s="18"/>
      <c r="X32" s="23"/>
      <c r="Y32" s="23"/>
      <c r="Z32" s="18"/>
      <c r="AA32" s="18"/>
      <c r="AB32" s="18"/>
      <c r="AC32" s="18"/>
      <c r="AD32" s="18"/>
      <c r="AE32" s="23"/>
      <c r="AF32" s="23"/>
      <c r="AG32" s="18"/>
      <c r="AH32" s="18"/>
      <c r="AI32" s="18"/>
      <c r="AJ32" s="18"/>
      <c r="AK32" s="18"/>
      <c r="AL32" s="23"/>
      <c r="AM32" s="24"/>
      <c r="AN32" s="24"/>
      <c r="AO32" s="24"/>
      <c r="AP32" s="24"/>
      <c r="AQ32" s="24"/>
      <c r="AR32" s="18"/>
      <c r="AS32" s="23"/>
      <c r="AT32" s="23"/>
      <c r="AU32" s="18"/>
      <c r="AV32" s="18"/>
      <c r="AW32" s="18"/>
      <c r="AX32" s="18"/>
      <c r="AY32" s="18"/>
      <c r="AZ32" s="23"/>
      <c r="BA32" s="23"/>
      <c r="BB32" s="18"/>
      <c r="BC32" s="18"/>
      <c r="BD32" s="18"/>
      <c r="BE32" s="18"/>
    </row>
    <row r="33" spans="1:57" ht="13.75" customHeight="1">
      <c r="A33" s="15" t="s">
        <v>113</v>
      </c>
      <c r="B33" s="16" t="s">
        <v>92</v>
      </c>
      <c r="C33" s="16" t="s">
        <v>114</v>
      </c>
      <c r="D33" s="16" t="s">
        <v>36</v>
      </c>
      <c r="E33" s="16" t="s">
        <v>37</v>
      </c>
      <c r="F33" s="17">
        <v>0.3</v>
      </c>
      <c r="G33" s="15" t="s">
        <v>115</v>
      </c>
      <c r="H33" s="15" t="s">
        <v>116</v>
      </c>
      <c r="I33" s="16">
        <f t="shared" si="0"/>
        <v>6</v>
      </c>
      <c r="J33" s="16" t="s">
        <v>40</v>
      </c>
      <c r="K33" s="30" t="s">
        <v>41</v>
      </c>
      <c r="L33" s="16" t="s">
        <v>22</v>
      </c>
      <c r="M33" s="18"/>
      <c r="N33" s="18"/>
      <c r="O33" s="18"/>
      <c r="P33" s="18"/>
      <c r="Q33" s="23"/>
      <c r="R33" s="23"/>
      <c r="S33" s="18"/>
      <c r="T33" s="18"/>
      <c r="U33" s="18"/>
      <c r="V33" s="18"/>
      <c r="W33" s="18"/>
      <c r="X33" s="23"/>
      <c r="Y33" s="23"/>
      <c r="Z33" s="18"/>
      <c r="AA33" s="18"/>
      <c r="AB33" s="18"/>
      <c r="AC33" s="18"/>
      <c r="AD33" s="18"/>
      <c r="AE33" s="23"/>
      <c r="AF33" s="23"/>
      <c r="AG33" s="18"/>
      <c r="AH33" s="18"/>
      <c r="AI33" s="18"/>
      <c r="AJ33" s="18"/>
      <c r="AK33" s="18"/>
      <c r="AL33" s="23"/>
      <c r="AM33" s="23"/>
      <c r="AN33" s="24"/>
      <c r="AO33" s="24"/>
      <c r="AP33" s="24"/>
      <c r="AQ33" s="24"/>
      <c r="AR33" s="24"/>
      <c r="AS33" s="24"/>
      <c r="AT33" s="23"/>
      <c r="AU33" s="18"/>
      <c r="AV33" s="18"/>
      <c r="AW33" s="18"/>
      <c r="AX33" s="18"/>
      <c r="AY33" s="18"/>
      <c r="AZ33" s="23"/>
      <c r="BA33" s="23"/>
      <c r="BB33" s="18"/>
      <c r="BC33" s="18"/>
      <c r="BD33" s="18"/>
      <c r="BE33" s="18"/>
    </row>
    <row r="34" spans="1:57" ht="13.75" customHeight="1">
      <c r="A34" s="15" t="s">
        <v>117</v>
      </c>
      <c r="B34" s="16" t="s">
        <v>92</v>
      </c>
      <c r="C34" s="16" t="s">
        <v>118</v>
      </c>
      <c r="D34" s="16" t="s">
        <v>16</v>
      </c>
      <c r="E34" s="16" t="s">
        <v>17</v>
      </c>
      <c r="F34" s="17">
        <v>0.25</v>
      </c>
      <c r="G34" s="15" t="s">
        <v>104</v>
      </c>
      <c r="H34" s="15" t="s">
        <v>112</v>
      </c>
      <c r="I34" s="16">
        <f t="shared" si="0"/>
        <v>3</v>
      </c>
      <c r="J34" s="16" t="s">
        <v>40</v>
      </c>
      <c r="K34" s="30" t="s">
        <v>56</v>
      </c>
      <c r="L34" s="16" t="s">
        <v>22</v>
      </c>
      <c r="M34" s="18"/>
      <c r="N34" s="18"/>
      <c r="O34" s="18"/>
      <c r="P34" s="18"/>
      <c r="Q34" s="23"/>
      <c r="R34" s="23"/>
      <c r="S34" s="18"/>
      <c r="T34" s="18"/>
      <c r="U34" s="18"/>
      <c r="V34" s="18"/>
      <c r="W34" s="18"/>
      <c r="X34" s="23"/>
      <c r="Y34" s="23"/>
      <c r="Z34" s="18"/>
      <c r="AA34" s="18"/>
      <c r="AB34" s="18"/>
      <c r="AC34" s="18"/>
      <c r="AD34" s="18"/>
      <c r="AE34" s="23"/>
      <c r="AF34" s="23"/>
      <c r="AG34" s="18"/>
      <c r="AH34" s="18"/>
      <c r="AI34" s="18"/>
      <c r="AJ34" s="18"/>
      <c r="AK34" s="18"/>
      <c r="AL34" s="23"/>
      <c r="AM34" s="23"/>
      <c r="AN34" s="18"/>
      <c r="AO34" s="24"/>
      <c r="AP34" s="24"/>
      <c r="AQ34" s="24"/>
      <c r="AR34" s="18"/>
      <c r="AS34" s="23"/>
      <c r="AT34" s="23"/>
      <c r="AU34" s="18"/>
      <c r="AV34" s="18"/>
      <c r="AW34" s="18"/>
      <c r="AX34" s="18"/>
      <c r="AY34" s="18"/>
      <c r="AZ34" s="23"/>
      <c r="BA34" s="23"/>
      <c r="BB34" s="18"/>
      <c r="BC34" s="18"/>
      <c r="BD34" s="18"/>
      <c r="BE34" s="18"/>
    </row>
    <row r="35" spans="1:57" ht="13.75" customHeight="1">
      <c r="A35" s="15" t="s">
        <v>119</v>
      </c>
      <c r="B35" s="16" t="s">
        <v>92</v>
      </c>
      <c r="C35" s="16" t="s">
        <v>120</v>
      </c>
      <c r="D35" s="16" t="s">
        <v>25</v>
      </c>
      <c r="E35" s="16" t="s">
        <v>26</v>
      </c>
      <c r="F35" s="17">
        <v>0.2</v>
      </c>
      <c r="G35" s="15" t="s">
        <v>121</v>
      </c>
      <c r="H35" s="15" t="s">
        <v>116</v>
      </c>
      <c r="I35" s="16">
        <f t="shared" si="0"/>
        <v>4</v>
      </c>
      <c r="J35" s="16" t="s">
        <v>40</v>
      </c>
      <c r="K35" s="29" t="s">
        <v>21</v>
      </c>
      <c r="L35" s="16" t="s">
        <v>22</v>
      </c>
      <c r="M35" s="18"/>
      <c r="N35" s="18"/>
      <c r="O35" s="18"/>
      <c r="P35" s="18"/>
      <c r="Q35" s="23"/>
      <c r="R35" s="23"/>
      <c r="S35" s="18"/>
      <c r="T35" s="18"/>
      <c r="U35" s="18"/>
      <c r="V35" s="18"/>
      <c r="W35" s="18"/>
      <c r="X35" s="23"/>
      <c r="Y35" s="23"/>
      <c r="Z35" s="18"/>
      <c r="AA35" s="18"/>
      <c r="AB35" s="18"/>
      <c r="AC35" s="18"/>
      <c r="AD35" s="18"/>
      <c r="AE35" s="23"/>
      <c r="AF35" s="23"/>
      <c r="AG35" s="18"/>
      <c r="AH35" s="18"/>
      <c r="AI35" s="18"/>
      <c r="AJ35" s="18"/>
      <c r="AK35" s="18"/>
      <c r="AL35" s="23"/>
      <c r="AM35" s="23"/>
      <c r="AN35" s="18"/>
      <c r="AO35" s="18"/>
      <c r="AP35" s="24"/>
      <c r="AQ35" s="24"/>
      <c r="AR35" s="24"/>
      <c r="AS35" s="24"/>
      <c r="AT35" s="23"/>
      <c r="AU35" s="18"/>
      <c r="AV35" s="18"/>
      <c r="AW35" s="18"/>
      <c r="AX35" s="18"/>
      <c r="AY35" s="18"/>
      <c r="AZ35" s="23"/>
      <c r="BA35" s="23"/>
      <c r="BB35" s="18"/>
      <c r="BC35" s="18"/>
      <c r="BD35" s="18"/>
      <c r="BE35" s="18"/>
    </row>
    <row r="36" spans="1:57" ht="13.75" customHeight="1">
      <c r="A36" s="19" t="s">
        <v>122</v>
      </c>
      <c r="B36" s="20" t="s">
        <v>123</v>
      </c>
      <c r="C36" s="20" t="s">
        <v>124</v>
      </c>
      <c r="D36" s="20" t="s">
        <v>31</v>
      </c>
      <c r="E36" s="20" t="s">
        <v>32</v>
      </c>
      <c r="F36" s="21">
        <v>0.7</v>
      </c>
      <c r="G36" s="19" t="s">
        <v>112</v>
      </c>
      <c r="H36" s="19" t="s">
        <v>116</v>
      </c>
      <c r="I36" s="20">
        <f t="shared" si="0"/>
        <v>3</v>
      </c>
      <c r="J36" s="20" t="s">
        <v>20</v>
      </c>
      <c r="K36" s="31" t="s">
        <v>21</v>
      </c>
      <c r="L36" s="20" t="s">
        <v>22</v>
      </c>
      <c r="M36" s="22"/>
      <c r="N36" s="22"/>
      <c r="O36" s="22"/>
      <c r="P36" s="22"/>
      <c r="Q36" s="23"/>
      <c r="R36" s="23"/>
      <c r="S36" s="22"/>
      <c r="T36" s="22"/>
      <c r="U36" s="22"/>
      <c r="V36" s="22"/>
      <c r="W36" s="22"/>
      <c r="X36" s="23"/>
      <c r="Y36" s="23"/>
      <c r="Z36" s="22"/>
      <c r="AA36" s="22"/>
      <c r="AB36" s="22"/>
      <c r="AC36" s="22"/>
      <c r="AD36" s="22"/>
      <c r="AE36" s="23"/>
      <c r="AF36" s="23"/>
      <c r="AG36" s="22"/>
      <c r="AH36" s="22"/>
      <c r="AI36" s="22"/>
      <c r="AJ36" s="22"/>
      <c r="AK36" s="22"/>
      <c r="AL36" s="23"/>
      <c r="AM36" s="23"/>
      <c r="AN36" s="22"/>
      <c r="AO36" s="22"/>
      <c r="AP36" s="22"/>
      <c r="AQ36" s="24"/>
      <c r="AR36" s="24"/>
      <c r="AS36" s="24"/>
      <c r="AT36" s="23"/>
      <c r="AU36" s="22"/>
      <c r="AV36" s="22"/>
      <c r="AW36" s="22"/>
      <c r="AX36" s="22"/>
      <c r="AY36" s="22"/>
      <c r="AZ36" s="23"/>
      <c r="BA36" s="23"/>
      <c r="BB36" s="22"/>
      <c r="BC36" s="22"/>
      <c r="BD36" s="22"/>
      <c r="BE36" s="22"/>
    </row>
    <row r="37" spans="1:57" ht="13.75" customHeight="1">
      <c r="A37" s="19" t="s">
        <v>125</v>
      </c>
      <c r="B37" s="20" t="s">
        <v>123</v>
      </c>
      <c r="C37" s="20" t="s">
        <v>126</v>
      </c>
      <c r="D37" s="20" t="s">
        <v>36</v>
      </c>
      <c r="E37" s="20" t="s">
        <v>37</v>
      </c>
      <c r="F37" s="21">
        <v>0.6</v>
      </c>
      <c r="G37" s="19" t="s">
        <v>127</v>
      </c>
      <c r="H37" s="19" t="s">
        <v>128</v>
      </c>
      <c r="I37" s="20">
        <f t="shared" si="0"/>
        <v>4</v>
      </c>
      <c r="J37" s="20" t="s">
        <v>20</v>
      </c>
      <c r="K37" s="31" t="s">
        <v>21</v>
      </c>
      <c r="L37" s="20" t="s">
        <v>22</v>
      </c>
      <c r="M37" s="22"/>
      <c r="N37" s="22"/>
      <c r="O37" s="22"/>
      <c r="P37" s="22"/>
      <c r="Q37" s="23"/>
      <c r="R37" s="23"/>
      <c r="S37" s="22"/>
      <c r="T37" s="22"/>
      <c r="U37" s="22"/>
      <c r="V37" s="22"/>
      <c r="W37" s="22"/>
      <c r="X37" s="23"/>
      <c r="Y37" s="23"/>
      <c r="Z37" s="22"/>
      <c r="AA37" s="22"/>
      <c r="AB37" s="22"/>
      <c r="AC37" s="22"/>
      <c r="AD37" s="22"/>
      <c r="AE37" s="23"/>
      <c r="AF37" s="23"/>
      <c r="AG37" s="22"/>
      <c r="AH37" s="22"/>
      <c r="AI37" s="22"/>
      <c r="AJ37" s="22"/>
      <c r="AK37" s="22"/>
      <c r="AL37" s="23"/>
      <c r="AM37" s="23"/>
      <c r="AN37" s="22"/>
      <c r="AO37" s="22"/>
      <c r="AP37" s="22"/>
      <c r="AQ37" s="22"/>
      <c r="AR37" s="24"/>
      <c r="AS37" s="24"/>
      <c r="AT37" s="24"/>
      <c r="AU37" s="24"/>
      <c r="AV37" s="22"/>
      <c r="AW37" s="22"/>
      <c r="AX37" s="22"/>
      <c r="AY37" s="22"/>
      <c r="AZ37" s="23"/>
      <c r="BA37" s="23"/>
      <c r="BB37" s="22"/>
      <c r="BC37" s="22"/>
      <c r="BD37" s="22"/>
      <c r="BE37" s="22"/>
    </row>
    <row r="38" spans="1:57" ht="13.75" customHeight="1">
      <c r="A38" s="19" t="s">
        <v>129</v>
      </c>
      <c r="B38" s="20" t="s">
        <v>123</v>
      </c>
      <c r="C38" s="20" t="s">
        <v>130</v>
      </c>
      <c r="D38" s="20" t="s">
        <v>16</v>
      </c>
      <c r="E38" s="20" t="s">
        <v>17</v>
      </c>
      <c r="F38" s="21">
        <v>0.55000000000000004</v>
      </c>
      <c r="G38" s="19" t="s">
        <v>116</v>
      </c>
      <c r="H38" s="19" t="s">
        <v>131</v>
      </c>
      <c r="I38" s="20">
        <f t="shared" si="0"/>
        <v>5</v>
      </c>
      <c r="J38" s="20" t="s">
        <v>20</v>
      </c>
      <c r="K38" s="31" t="s">
        <v>21</v>
      </c>
      <c r="L38" s="20" t="s">
        <v>22</v>
      </c>
      <c r="M38" s="22"/>
      <c r="N38" s="22"/>
      <c r="O38" s="22"/>
      <c r="P38" s="22"/>
      <c r="Q38" s="23"/>
      <c r="R38" s="23"/>
      <c r="S38" s="22"/>
      <c r="T38" s="22"/>
      <c r="U38" s="22"/>
      <c r="V38" s="22"/>
      <c r="W38" s="22"/>
      <c r="X38" s="23"/>
      <c r="Y38" s="23"/>
      <c r="Z38" s="22"/>
      <c r="AA38" s="22"/>
      <c r="AB38" s="22"/>
      <c r="AC38" s="22"/>
      <c r="AD38" s="22"/>
      <c r="AE38" s="23"/>
      <c r="AF38" s="23"/>
      <c r="AG38" s="22"/>
      <c r="AH38" s="22"/>
      <c r="AI38" s="22"/>
      <c r="AJ38" s="22"/>
      <c r="AK38" s="22"/>
      <c r="AL38" s="23"/>
      <c r="AM38" s="23"/>
      <c r="AN38" s="22"/>
      <c r="AO38" s="22"/>
      <c r="AP38" s="22"/>
      <c r="AQ38" s="22"/>
      <c r="AR38" s="22"/>
      <c r="AS38" s="24"/>
      <c r="AT38" s="24"/>
      <c r="AU38" s="24"/>
      <c r="AV38" s="24"/>
      <c r="AW38" s="24"/>
      <c r="AX38" s="22"/>
      <c r="AY38" s="22"/>
      <c r="AZ38" s="23"/>
      <c r="BA38" s="23"/>
      <c r="BB38" s="22"/>
      <c r="BC38" s="22"/>
      <c r="BD38" s="22"/>
      <c r="BE38" s="22"/>
    </row>
    <row r="39" spans="1:57" ht="13.75" customHeight="1">
      <c r="A39" s="19" t="s">
        <v>132</v>
      </c>
      <c r="B39" s="20" t="s">
        <v>123</v>
      </c>
      <c r="C39" s="20" t="s">
        <v>133</v>
      </c>
      <c r="D39" s="20" t="s">
        <v>25</v>
      </c>
      <c r="E39" s="20" t="s">
        <v>26</v>
      </c>
      <c r="F39" s="21">
        <v>0.5</v>
      </c>
      <c r="G39" s="19" t="s">
        <v>134</v>
      </c>
      <c r="H39" s="19" t="s">
        <v>135</v>
      </c>
      <c r="I39" s="20">
        <f t="shared" si="0"/>
        <v>6</v>
      </c>
      <c r="J39" s="20" t="s">
        <v>40</v>
      </c>
      <c r="K39" s="32" t="s">
        <v>41</v>
      </c>
      <c r="L39" s="20" t="s">
        <v>22</v>
      </c>
      <c r="M39" s="22"/>
      <c r="N39" s="22"/>
      <c r="O39" s="22"/>
      <c r="P39" s="22"/>
      <c r="Q39" s="23"/>
      <c r="R39" s="23"/>
      <c r="S39" s="22"/>
      <c r="T39" s="22"/>
      <c r="U39" s="22"/>
      <c r="V39" s="22"/>
      <c r="W39" s="22"/>
      <c r="X39" s="23"/>
      <c r="Y39" s="23"/>
      <c r="Z39" s="22"/>
      <c r="AA39" s="22"/>
      <c r="AB39" s="22"/>
      <c r="AC39" s="22"/>
      <c r="AD39" s="22"/>
      <c r="AE39" s="23"/>
      <c r="AF39" s="23"/>
      <c r="AG39" s="22"/>
      <c r="AH39" s="22"/>
      <c r="AI39" s="22"/>
      <c r="AJ39" s="22"/>
      <c r="AK39" s="22"/>
      <c r="AL39" s="23"/>
      <c r="AM39" s="23"/>
      <c r="AN39" s="22"/>
      <c r="AO39" s="22"/>
      <c r="AP39" s="22"/>
      <c r="AQ39" s="22"/>
      <c r="AR39" s="22"/>
      <c r="AS39" s="23"/>
      <c r="AT39" s="24"/>
      <c r="AU39" s="24"/>
      <c r="AV39" s="24"/>
      <c r="AW39" s="24"/>
      <c r="AX39" s="24"/>
      <c r="AY39" s="24"/>
      <c r="AZ39" s="23"/>
      <c r="BA39" s="23"/>
      <c r="BB39" s="22"/>
      <c r="BC39" s="22"/>
      <c r="BD39" s="22"/>
      <c r="BE39" s="22"/>
    </row>
    <row r="40" spans="1:57" ht="13.75" customHeight="1">
      <c r="A40" s="19" t="s">
        <v>136</v>
      </c>
      <c r="B40" s="20" t="s">
        <v>123</v>
      </c>
      <c r="C40" s="20" t="s">
        <v>137</v>
      </c>
      <c r="D40" s="20" t="s">
        <v>31</v>
      </c>
      <c r="E40" s="20" t="s">
        <v>32</v>
      </c>
      <c r="F40" s="21">
        <v>0.45</v>
      </c>
      <c r="G40" s="19" t="s">
        <v>128</v>
      </c>
      <c r="H40" s="19" t="s">
        <v>131</v>
      </c>
      <c r="I40" s="20">
        <f t="shared" si="0"/>
        <v>3</v>
      </c>
      <c r="J40" s="20" t="s">
        <v>40</v>
      </c>
      <c r="K40" s="32" t="s">
        <v>41</v>
      </c>
      <c r="L40" s="20" t="s">
        <v>22</v>
      </c>
      <c r="M40" s="22"/>
      <c r="N40" s="22"/>
      <c r="O40" s="22"/>
      <c r="P40" s="22"/>
      <c r="Q40" s="23"/>
      <c r="R40" s="23"/>
      <c r="S40" s="22"/>
      <c r="T40" s="22"/>
      <c r="U40" s="22"/>
      <c r="V40" s="22"/>
      <c r="W40" s="22"/>
      <c r="X40" s="23"/>
      <c r="Y40" s="23"/>
      <c r="Z40" s="22"/>
      <c r="AA40" s="22"/>
      <c r="AB40" s="22"/>
      <c r="AC40" s="22"/>
      <c r="AD40" s="22"/>
      <c r="AE40" s="23"/>
      <c r="AF40" s="23"/>
      <c r="AG40" s="22"/>
      <c r="AH40" s="22"/>
      <c r="AI40" s="22"/>
      <c r="AJ40" s="22"/>
      <c r="AK40" s="22"/>
      <c r="AL40" s="23"/>
      <c r="AM40" s="23"/>
      <c r="AN40" s="22"/>
      <c r="AO40" s="22"/>
      <c r="AP40" s="22"/>
      <c r="AQ40" s="22"/>
      <c r="AR40" s="22"/>
      <c r="AS40" s="23"/>
      <c r="AT40" s="23"/>
      <c r="AU40" s="24"/>
      <c r="AV40" s="24"/>
      <c r="AW40" s="24"/>
      <c r="AX40" s="22"/>
      <c r="AY40" s="22"/>
      <c r="AZ40" s="23"/>
      <c r="BA40" s="23"/>
      <c r="BB40" s="22"/>
      <c r="BC40" s="22"/>
      <c r="BD40" s="22"/>
      <c r="BE40" s="22"/>
    </row>
    <row r="41" spans="1:57" ht="13.75" customHeight="1">
      <c r="A41" s="19" t="s">
        <v>138</v>
      </c>
      <c r="B41" s="20" t="s">
        <v>123</v>
      </c>
      <c r="C41" s="20" t="s">
        <v>139</v>
      </c>
      <c r="D41" s="20" t="s">
        <v>36</v>
      </c>
      <c r="E41" s="20" t="s">
        <v>37</v>
      </c>
      <c r="F41" s="21">
        <v>0.4</v>
      </c>
      <c r="G41" s="19" t="s">
        <v>140</v>
      </c>
      <c r="H41" s="19" t="s">
        <v>135</v>
      </c>
      <c r="I41" s="20">
        <f t="shared" si="0"/>
        <v>4</v>
      </c>
      <c r="J41" s="20" t="s">
        <v>40</v>
      </c>
      <c r="K41" s="31" t="s">
        <v>21</v>
      </c>
      <c r="L41" s="20" t="s">
        <v>22</v>
      </c>
      <c r="M41" s="22"/>
      <c r="N41" s="22"/>
      <c r="O41" s="22"/>
      <c r="P41" s="22"/>
      <c r="Q41" s="23"/>
      <c r="R41" s="23"/>
      <c r="S41" s="22"/>
      <c r="T41" s="22"/>
      <c r="U41" s="22"/>
      <c r="V41" s="22"/>
      <c r="W41" s="22"/>
      <c r="X41" s="23"/>
      <c r="Y41" s="23"/>
      <c r="Z41" s="22"/>
      <c r="AA41" s="22"/>
      <c r="AB41" s="22"/>
      <c r="AC41" s="22"/>
      <c r="AD41" s="22"/>
      <c r="AE41" s="23"/>
      <c r="AF41" s="23"/>
      <c r="AG41" s="22"/>
      <c r="AH41" s="22"/>
      <c r="AI41" s="22"/>
      <c r="AJ41" s="22"/>
      <c r="AK41" s="22"/>
      <c r="AL41" s="23"/>
      <c r="AM41" s="23"/>
      <c r="AN41" s="22"/>
      <c r="AO41" s="22"/>
      <c r="AP41" s="22"/>
      <c r="AQ41" s="22"/>
      <c r="AR41" s="22"/>
      <c r="AS41" s="23"/>
      <c r="AT41" s="23"/>
      <c r="AU41" s="22"/>
      <c r="AV41" s="24"/>
      <c r="AW41" s="24"/>
      <c r="AX41" s="24"/>
      <c r="AY41" s="24"/>
      <c r="AZ41" s="23"/>
      <c r="BA41" s="23"/>
      <c r="BB41" s="22"/>
      <c r="BC41" s="22"/>
      <c r="BD41" s="22"/>
      <c r="BE41" s="22"/>
    </row>
    <row r="42" spans="1:57" ht="13.75" customHeight="1">
      <c r="A42" s="19" t="s">
        <v>141</v>
      </c>
      <c r="B42" s="20" t="s">
        <v>123</v>
      </c>
      <c r="C42" s="20" t="s">
        <v>142</v>
      </c>
      <c r="D42" s="20" t="s">
        <v>16</v>
      </c>
      <c r="E42" s="20" t="s">
        <v>17</v>
      </c>
      <c r="F42" s="21">
        <v>0.35</v>
      </c>
      <c r="G42" s="19" t="s">
        <v>131</v>
      </c>
      <c r="H42" s="19" t="s">
        <v>143</v>
      </c>
      <c r="I42" s="20">
        <f t="shared" si="0"/>
        <v>5</v>
      </c>
      <c r="J42" s="20" t="s">
        <v>40</v>
      </c>
      <c r="K42" s="32" t="s">
        <v>41</v>
      </c>
      <c r="L42" s="20" t="s">
        <v>22</v>
      </c>
      <c r="M42" s="22"/>
      <c r="N42" s="22"/>
      <c r="O42" s="22"/>
      <c r="P42" s="22"/>
      <c r="Q42" s="23"/>
      <c r="R42" s="23"/>
      <c r="S42" s="22"/>
      <c r="T42" s="22"/>
      <c r="U42" s="22"/>
      <c r="V42" s="22"/>
      <c r="W42" s="22"/>
      <c r="X42" s="23"/>
      <c r="Y42" s="23"/>
      <c r="Z42" s="22"/>
      <c r="AA42" s="22"/>
      <c r="AB42" s="22"/>
      <c r="AC42" s="22"/>
      <c r="AD42" s="22"/>
      <c r="AE42" s="23"/>
      <c r="AF42" s="23"/>
      <c r="AG42" s="22"/>
      <c r="AH42" s="22"/>
      <c r="AI42" s="22"/>
      <c r="AJ42" s="22"/>
      <c r="AK42" s="22"/>
      <c r="AL42" s="23"/>
      <c r="AM42" s="23"/>
      <c r="AN42" s="22"/>
      <c r="AO42" s="22"/>
      <c r="AP42" s="22"/>
      <c r="AQ42" s="22"/>
      <c r="AR42" s="22"/>
      <c r="AS42" s="23"/>
      <c r="AT42" s="23"/>
      <c r="AU42" s="22"/>
      <c r="AV42" s="22"/>
      <c r="AW42" s="24"/>
      <c r="AX42" s="24"/>
      <c r="AY42" s="24"/>
      <c r="AZ42" s="24"/>
      <c r="BA42" s="24"/>
      <c r="BB42" s="22"/>
      <c r="BC42" s="22"/>
      <c r="BD42" s="22"/>
      <c r="BE42" s="22"/>
    </row>
    <row r="43" spans="1:57" ht="13.75" customHeight="1">
      <c r="A43" s="19" t="s">
        <v>144</v>
      </c>
      <c r="B43" s="20" t="s">
        <v>123</v>
      </c>
      <c r="C43" s="20" t="s">
        <v>145</v>
      </c>
      <c r="D43" s="20" t="s">
        <v>25</v>
      </c>
      <c r="E43" s="20" t="s">
        <v>26</v>
      </c>
      <c r="F43" s="21">
        <v>0.3</v>
      </c>
      <c r="G43" s="19" t="s">
        <v>146</v>
      </c>
      <c r="H43" s="19" t="s">
        <v>147</v>
      </c>
      <c r="I43" s="20">
        <f t="shared" si="0"/>
        <v>6</v>
      </c>
      <c r="J43" s="20" t="s">
        <v>40</v>
      </c>
      <c r="K43" s="32" t="s">
        <v>41</v>
      </c>
      <c r="L43" s="20" t="s">
        <v>22</v>
      </c>
      <c r="M43" s="22"/>
      <c r="N43" s="22"/>
      <c r="O43" s="22"/>
      <c r="P43" s="22"/>
      <c r="Q43" s="23"/>
      <c r="R43" s="23"/>
      <c r="S43" s="22"/>
      <c r="T43" s="22"/>
      <c r="U43" s="22"/>
      <c r="V43" s="22"/>
      <c r="W43" s="22"/>
      <c r="X43" s="23"/>
      <c r="Y43" s="23"/>
      <c r="Z43" s="22"/>
      <c r="AA43" s="22"/>
      <c r="AB43" s="22"/>
      <c r="AC43" s="22"/>
      <c r="AD43" s="22"/>
      <c r="AE43" s="23"/>
      <c r="AF43" s="23"/>
      <c r="AG43" s="22"/>
      <c r="AH43" s="22"/>
      <c r="AI43" s="22"/>
      <c r="AJ43" s="22"/>
      <c r="AK43" s="22"/>
      <c r="AL43" s="23"/>
      <c r="AM43" s="23"/>
      <c r="AN43" s="22"/>
      <c r="AO43" s="22"/>
      <c r="AP43" s="22"/>
      <c r="AQ43" s="22"/>
      <c r="AR43" s="22"/>
      <c r="AS43" s="23"/>
      <c r="AT43" s="23"/>
      <c r="AU43" s="22"/>
      <c r="AV43" s="22"/>
      <c r="AW43" s="22"/>
      <c r="AX43" s="24"/>
      <c r="AY43" s="24"/>
      <c r="AZ43" s="24"/>
      <c r="BA43" s="24"/>
      <c r="BB43" s="24"/>
      <c r="BC43" s="24"/>
      <c r="BD43" s="22"/>
      <c r="BE43" s="22"/>
    </row>
    <row r="44" spans="1:57" ht="13.75" customHeight="1">
      <c r="A44" s="19" t="s">
        <v>148</v>
      </c>
      <c r="B44" s="20" t="s">
        <v>123</v>
      </c>
      <c r="C44" s="20" t="s">
        <v>149</v>
      </c>
      <c r="D44" s="20" t="s">
        <v>31</v>
      </c>
      <c r="E44" s="20" t="s">
        <v>32</v>
      </c>
      <c r="F44" s="21">
        <v>0.25</v>
      </c>
      <c r="G44" s="19" t="s">
        <v>135</v>
      </c>
      <c r="H44" s="19" t="s">
        <v>143</v>
      </c>
      <c r="I44" s="20">
        <f t="shared" si="0"/>
        <v>3</v>
      </c>
      <c r="J44" s="20" t="s">
        <v>40</v>
      </c>
      <c r="K44" s="32" t="s">
        <v>56</v>
      </c>
      <c r="L44" s="20" t="s">
        <v>22</v>
      </c>
      <c r="M44" s="22"/>
      <c r="N44" s="22"/>
      <c r="O44" s="22"/>
      <c r="P44" s="22"/>
      <c r="Q44" s="23"/>
      <c r="R44" s="23"/>
      <c r="S44" s="22"/>
      <c r="T44" s="22"/>
      <c r="U44" s="22"/>
      <c r="V44" s="22"/>
      <c r="W44" s="22"/>
      <c r="X44" s="23"/>
      <c r="Y44" s="23"/>
      <c r="Z44" s="22"/>
      <c r="AA44" s="22"/>
      <c r="AB44" s="22"/>
      <c r="AC44" s="22"/>
      <c r="AD44" s="22"/>
      <c r="AE44" s="23"/>
      <c r="AF44" s="23"/>
      <c r="AG44" s="22"/>
      <c r="AH44" s="22"/>
      <c r="AI44" s="22"/>
      <c r="AJ44" s="22"/>
      <c r="AK44" s="22"/>
      <c r="AL44" s="23"/>
      <c r="AM44" s="23"/>
      <c r="AN44" s="22"/>
      <c r="AO44" s="22"/>
      <c r="AP44" s="22"/>
      <c r="AQ44" s="22"/>
      <c r="AR44" s="22"/>
      <c r="AS44" s="23"/>
      <c r="AT44" s="23"/>
      <c r="AU44" s="22"/>
      <c r="AV44" s="22"/>
      <c r="AW44" s="22"/>
      <c r="AX44" s="22"/>
      <c r="AY44" s="24"/>
      <c r="AZ44" s="24"/>
      <c r="BA44" s="24"/>
      <c r="BB44" s="22"/>
      <c r="BC44" s="22"/>
      <c r="BD44" s="22"/>
      <c r="BE44" s="22"/>
    </row>
    <row r="45" spans="1:57" ht="13.75" customHeight="1">
      <c r="A45" s="19" t="s">
        <v>150</v>
      </c>
      <c r="B45" s="20" t="s">
        <v>123</v>
      </c>
      <c r="C45" s="20" t="s">
        <v>151</v>
      </c>
      <c r="D45" s="20" t="s">
        <v>36</v>
      </c>
      <c r="E45" s="20" t="s">
        <v>37</v>
      </c>
      <c r="F45" s="21">
        <v>0.2</v>
      </c>
      <c r="G45" s="19" t="s">
        <v>152</v>
      </c>
      <c r="H45" s="19" t="s">
        <v>147</v>
      </c>
      <c r="I45" s="20">
        <f t="shared" si="0"/>
        <v>4</v>
      </c>
      <c r="J45" s="20" t="s">
        <v>40</v>
      </c>
      <c r="K45" s="31" t="s">
        <v>21</v>
      </c>
      <c r="L45" s="20" t="s">
        <v>22</v>
      </c>
      <c r="M45" s="22"/>
      <c r="N45" s="22"/>
      <c r="O45" s="22"/>
      <c r="P45" s="22"/>
      <c r="Q45" s="23"/>
      <c r="R45" s="23"/>
      <c r="S45" s="22"/>
      <c r="T45" s="22"/>
      <c r="U45" s="22"/>
      <c r="V45" s="22"/>
      <c r="W45" s="22"/>
      <c r="X45" s="23"/>
      <c r="Y45" s="23"/>
      <c r="Z45" s="22"/>
      <c r="AA45" s="22"/>
      <c r="AB45" s="22"/>
      <c r="AC45" s="22"/>
      <c r="AD45" s="22"/>
      <c r="AE45" s="23"/>
      <c r="AF45" s="23"/>
      <c r="AG45" s="22"/>
      <c r="AH45" s="22"/>
      <c r="AI45" s="22"/>
      <c r="AJ45" s="22"/>
      <c r="AK45" s="22"/>
      <c r="AL45" s="23"/>
      <c r="AM45" s="23"/>
      <c r="AN45" s="22"/>
      <c r="AO45" s="22"/>
      <c r="AP45" s="22"/>
      <c r="AQ45" s="22"/>
      <c r="AR45" s="22"/>
      <c r="AS45" s="23"/>
      <c r="AT45" s="23"/>
      <c r="AU45" s="22"/>
      <c r="AV45" s="22"/>
      <c r="AW45" s="22"/>
      <c r="AX45" s="22"/>
      <c r="AY45" s="22"/>
      <c r="AZ45" s="24"/>
      <c r="BA45" s="24"/>
      <c r="BB45" s="24"/>
      <c r="BC45" s="24"/>
      <c r="BD45" s="22"/>
      <c r="BE45" s="22"/>
    </row>
  </sheetData>
  <mergeCells count="2">
    <mergeCell ref="A1:L1"/>
    <mergeCell ref="A2:L2"/>
  </mergeCells>
  <conditionalFormatting sqref="F6:F45">
    <cfRule type="dataBar" priority="7">
      <dataBar>
        <cfvo type="min"/>
        <cfvo type="max"/>
        <color rgb="FF10B981"/>
      </dataBar>
    </cfRule>
    <cfRule type="dataBar" priority="9">
      <dataBar>
        <cfvo type="min"/>
        <cfvo type="max"/>
        <color rgb="FF10B981"/>
      </dataBar>
    </cfRule>
    <cfRule type="dataBar" priority="10">
      <dataBar>
        <cfvo type="min"/>
        <cfvo type="max"/>
        <color rgb="FF10B981"/>
      </dataBar>
      <extLst>
        <ext xmlns:x14="http://schemas.microsoft.com/office/spreadsheetml/2009/9/main" uri="{B025F937-C7B1-47D3-B67F-A62EFF666E3E}">
          <x14:id>{19377549-69F3-60DE-4A88-86A46D3B3E8F}</x14:id>
        </ext>
      </extLst>
    </cfRule>
  </conditionalFormatting>
  <conditionalFormatting sqref="M5:BE45">
    <cfRule type="expression" dxfId="1" priority="6">
      <formula>WEEKDAY(M$5,2)&gt;5</formula>
    </cfRule>
  </conditionalFormatting>
  <conditionalFormatting sqref="M6:BE45">
    <cfRule type="expression" dxfId="0" priority="5">
      <formula>M6=1</formula>
    </cfRule>
  </conditionalFormatting>
  <dataValidations count="2">
    <dataValidation type="list" sqref="J6:J45" xr:uid="{00000000-0002-0000-0000-000000000000}">
      <formula1>"Not Started,In Progress,Blocked,Completed"</formula1>
    </dataValidation>
    <dataValidation type="list" sqref="K6:K45" xr:uid="{00000000-0002-0000-0000-000001000000}">
      <formula1>"Low,Medium,High"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377549-69F3-60DE-4A88-86A46D3B3E8F}">
            <x14:dataBar>
              <x14:cfvo type="min"/>
              <x14:cfvo type="max"/>
              <x14:negativeFillColor auto="1"/>
              <x14:axisColor auto="1"/>
            </x14:dataBar>
          </x14:cfRule>
          <xm:sqref>F6:F45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B4" sqref="B4"/>
    </sheetView>
  </sheetViews>
  <sheetFormatPr baseColWidth="10" defaultColWidth="9.140625" defaultRowHeight="14.15"/>
  <cols>
    <col min="1" max="2" width="26" customWidth="1"/>
    <col min="4" max="4" width="26" customWidth="1"/>
    <col min="5" max="6" width="14" customWidth="1"/>
  </cols>
  <sheetData>
    <row r="1" spans="1:8" ht="16" customHeight="1">
      <c r="A1" s="36" t="s">
        <v>153</v>
      </c>
      <c r="B1" s="36"/>
      <c r="C1" s="36"/>
      <c r="D1" s="36"/>
      <c r="E1" s="36"/>
      <c r="F1" s="36"/>
      <c r="G1" s="36"/>
      <c r="H1" s="36"/>
    </row>
    <row r="3" spans="1:8">
      <c r="A3" s="1" t="s">
        <v>154</v>
      </c>
      <c r="B3" s="1" t="s">
        <v>155</v>
      </c>
      <c r="D3" s="1" t="s">
        <v>4</v>
      </c>
      <c r="E3" s="1" t="s">
        <v>156</v>
      </c>
      <c r="F3" s="1" t="s">
        <v>157</v>
      </c>
    </row>
    <row r="4" spans="1:8">
      <c r="A4" t="s">
        <v>158</v>
      </c>
      <c r="B4">
        <f>COUNTA('Gantt Plan'!A6:A45)</f>
        <v>40</v>
      </c>
      <c r="D4" t="s">
        <v>16</v>
      </c>
      <c r="E4">
        <f>COUNTIF('Gantt Plan'!D6:D45,D4)</f>
        <v>10</v>
      </c>
      <c r="F4" s="6">
        <f>AVERAGEIF('Gantt Plan'!D6:D45,D4,'Gantt Plan'!F6:F45)</f>
        <v>0.45999999999999996</v>
      </c>
    </row>
    <row r="5" spans="1:8">
      <c r="A5" t="s">
        <v>159</v>
      </c>
      <c r="B5" s="5" t="s">
        <v>18</v>
      </c>
      <c r="D5" t="s">
        <v>25</v>
      </c>
      <c r="E5">
        <f>COUNTIF('Gantt Plan'!D6:D45,D5)</f>
        <v>10</v>
      </c>
      <c r="F5" s="6">
        <f>AVERAGEIF('Gantt Plan'!D6:D45,D5,'Gantt Plan'!F6:F45)</f>
        <v>0.4</v>
      </c>
    </row>
    <row r="6" spans="1:8">
      <c r="A6" t="s">
        <v>160</v>
      </c>
      <c r="B6" s="5" t="s">
        <v>161</v>
      </c>
      <c r="D6" t="s">
        <v>31</v>
      </c>
      <c r="E6">
        <f>COUNTIF('Gantt Plan'!D6:D45,D6)</f>
        <v>10</v>
      </c>
      <c r="F6" s="6">
        <f>AVERAGEIF('Gantt Plan'!D6:D45,D6,'Gantt Plan'!F6:F45)</f>
        <v>0.46000000000000008</v>
      </c>
    </row>
    <row r="7" spans="1:8">
      <c r="A7" t="s">
        <v>162</v>
      </c>
      <c r="B7" s="6">
        <f>AVERAGE('Gantt Plan'!F6:F45)</f>
        <v>0.43</v>
      </c>
      <c r="D7" t="s">
        <v>36</v>
      </c>
      <c r="E7">
        <f>COUNTIF('Gantt Plan'!D6:D45,D7)</f>
        <v>10</v>
      </c>
      <c r="F7" s="6">
        <f>AVERAGEIF('Gantt Plan'!D6:D45,D7,'Gantt Plan'!F6:F45)</f>
        <v>0.4</v>
      </c>
    </row>
    <row r="8" spans="1:8">
      <c r="A8" t="s">
        <v>163</v>
      </c>
      <c r="B8">
        <f>COUNTIF('Gantt Plan'!K6:K45,"High")</f>
        <v>20</v>
      </c>
    </row>
    <row r="9" spans="1:8">
      <c r="A9" t="s">
        <v>164</v>
      </c>
      <c r="B9">
        <f>COUNTIF('Gantt Plan'!J6:J45,"Not Started")</f>
        <v>28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sqref="A1:E1"/>
    </sheetView>
  </sheetViews>
  <sheetFormatPr baseColWidth="10" defaultColWidth="9.140625" defaultRowHeight="14.15"/>
  <cols>
    <col min="1" max="2" width="24" customWidth="1"/>
    <col min="3" max="3" width="42" customWidth="1"/>
    <col min="4" max="5" width="24" customWidth="1"/>
  </cols>
  <sheetData>
    <row r="1" spans="1:5" ht="20.149999999999999">
      <c r="A1" s="36" t="s">
        <v>165</v>
      </c>
      <c r="B1" s="36"/>
      <c r="C1" s="36"/>
      <c r="D1" s="36"/>
      <c r="E1" s="36"/>
    </row>
    <row r="3" spans="1:5">
      <c r="A3" s="1" t="s">
        <v>166</v>
      </c>
      <c r="B3" s="1" t="s">
        <v>167</v>
      </c>
      <c r="C3" s="1" t="s">
        <v>5</v>
      </c>
      <c r="D3" s="1" t="s">
        <v>168</v>
      </c>
      <c r="E3" s="1" t="s">
        <v>169</v>
      </c>
    </row>
    <row r="4" spans="1:5">
      <c r="A4" t="s">
        <v>170</v>
      </c>
      <c r="B4" t="s">
        <v>171</v>
      </c>
      <c r="C4" t="s">
        <v>17</v>
      </c>
      <c r="D4" t="s">
        <v>172</v>
      </c>
      <c r="E4" t="s">
        <v>173</v>
      </c>
    </row>
    <row r="5" spans="1:5">
      <c r="A5" t="s">
        <v>174</v>
      </c>
      <c r="B5" t="s">
        <v>175</v>
      </c>
      <c r="C5" t="s">
        <v>26</v>
      </c>
      <c r="D5" t="s">
        <v>172</v>
      </c>
      <c r="E5" t="s">
        <v>173</v>
      </c>
    </row>
    <row r="6" spans="1:5">
      <c r="A6" t="s">
        <v>176</v>
      </c>
      <c r="B6" t="s">
        <v>177</v>
      </c>
      <c r="C6" t="s">
        <v>32</v>
      </c>
      <c r="D6" t="s">
        <v>172</v>
      </c>
      <c r="E6" t="s">
        <v>173</v>
      </c>
    </row>
    <row r="7" spans="1:5">
      <c r="A7" t="s">
        <v>178</v>
      </c>
      <c r="B7" t="s">
        <v>179</v>
      </c>
      <c r="C7" t="s">
        <v>37</v>
      </c>
      <c r="D7" t="s">
        <v>172</v>
      </c>
      <c r="E7" t="s">
        <v>173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Gantt Plan</vt:lpstr>
      <vt:lpstr>Summary</vt:lpstr>
      <vt:lpstr>Team</vt:lpstr>
    </vt:vector>
  </TitlesOfParts>
  <Manager>Daniel Chidi Chimezie</Manager>
  <Company>Daniel Chidi Chimezie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Advanced Embedded Systems Gantt Plan</dc:title>
  <dc:subject>Advanced Embedded Systems Lab Project Gantt Chart</dc:subject>
  <dc:creator>Daniel Chidi Chimezie</dc:creator>
  <cp:keywords>Advanced Embedded Systems; Gantt Chart; Daniel Chidi Chimezie</cp:keywords>
  <dc:description>Internally created and owned by Daniel Chidi Chimezie.</dc:description>
  <cp:lastModifiedBy>Engr. D. Chimezie</cp:lastModifiedBy>
  <dcterms:created xsi:type="dcterms:W3CDTF">2026-05-05T19:38:04Z</dcterms:created>
  <dcterms:modified xsi:type="dcterms:W3CDTF">2026-05-05T19:47:45Z</dcterms:modified>
  <cp:category>Project Plan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Daniel Chidi Chimezie</vt:lpwstr>
  </property>
  <property fmtid="{D5CDD505-2E9C-101B-9397-08002B2CF9AE}" pid="3" name="Created by">
    <vt:lpwstr>Daniel Chidi Chimezie</vt:lpwstr>
  </property>
  <property fmtid="{D5CDD505-2E9C-101B-9397-08002B2CF9AE}" pid="4" name="Internal creator">
    <vt:lpwstr>Daniel Chidi Chimezie</vt:lpwstr>
  </property>
</Properties>
</file>